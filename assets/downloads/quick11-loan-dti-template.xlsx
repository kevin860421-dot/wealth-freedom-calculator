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貸款試算" state="visible" r:id="rId4"/>
  </sheets>
  <calcPr calcId="171027"/>
</workbook>
</file>

<file path=xl/sharedStrings.xml><?xml version="1.0" encoding="utf-8"?>
<sst xmlns="http://schemas.openxmlformats.org/spreadsheetml/2006/main" count="55" uniqueCount="40">
  <si>
    <t>破產計算機 · 貸款利息試算表（公式可改）</t>
  </si>
  <si>
    <t>【輸入區】改 B 欄數字即可</t>
  </si>
  <si>
    <t/>
  </si>
  <si>
    <t>項目</t>
  </si>
  <si>
    <t>數值</t>
  </si>
  <si>
    <t>單位</t>
  </si>
  <si>
    <t>說明</t>
  </si>
  <si>
    <t>貸款本金</t>
  </si>
  <si>
    <t>NT$</t>
  </si>
  <si>
    <t>例：120 萬</t>
  </si>
  <si>
    <t>年利率</t>
  </si>
  <si>
    <t>%</t>
  </si>
  <si>
    <t>例：2.2</t>
  </si>
  <si>
    <t>貸款年期</t>
  </si>
  <si>
    <t>年</t>
  </si>
  <si>
    <t>例：30</t>
  </si>
  <si>
    <t>月收入（預警）</t>
  </si>
  <si>
    <t>算 DTI 用</t>
  </si>
  <si>
    <t>【試算結果】</t>
  </si>
  <si>
    <t>結果</t>
  </si>
  <si>
    <t>公式說明</t>
  </si>
  <si>
    <t>本息均攤 · 每月繳款</t>
  </si>
  <si>
    <t>Excel PMT：固定月付</t>
  </si>
  <si>
    <t>本金均攤 · 首期月付</t>
  </si>
  <si>
    <t>首期＝本金攤還＋首期利息</t>
  </si>
  <si>
    <t>本息均攤 · 總繳利息</t>
  </si>
  <si>
    <t>總付款－本金</t>
  </si>
  <si>
    <t>DTI（月付／月收入）</t>
  </si>
  <si>
    <t>比率</t>
  </si>
  <si>
    <t>建議 &lt;35% 較安全；&gt;50% 預警</t>
  </si>
  <si>
    <t>DTI 百分比</t>
  </si>
  <si>
    <t>破產計算機同款指標</t>
  </si>
  <si>
    <t>破產預警文字</t>
  </si>
  <si>
    <t>對照 quick-11 預警</t>
  </si>
  <si>
    <t>線上試算</t>
  </si>
  <si>
    <t>https://wealth-freedom-calculator.vercel.app/quick-11</t>
  </si>
  <si>
    <t>手動輸入嫌麻煩可回站內試算</t>
  </si>
  <si>
    <t>財富自由計算機</t>
  </si>
  <si>
    <t>https://wealth-freedom-calculator.vercel.app/</t>
  </si>
  <si>
    <t>長期 FIRE／股利課稅／54C 完整版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</si>
</sst>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5" x14ac:knownFonts="1">
    <font>
      <color theme="1"/>
      <family val="2"/>
      <scheme val="minor"/>
      <sz val="11"/>
      <name val="Calibri"/>
    </font>
    <font>
      <b/>
      <color rgb="FF1E3A8A"/>
      <sz val="14"/>
    </font>
    <font>
      <b/>
    </font>
    <font>
      <b/>
      <color rgb="FF0369A1"/>
    </font>
    <font>
      <b/>
      <color rgb="FFB4530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2" fontId="0" fillId="0" borderId="0" xfId="0" applyNumberFormat="1"/>
    <xf numFmtId="3" fontId="3" fillId="0" borderId="0" xfId="0" applyNumberFormat="1" applyFont="1"/>
    <xf numFmtId="10" fontId="0" fillId="0" borderId="0" xfId="0" applyNumberForma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14" customWidth="1"/>
    <col min="4" max="4" width="36" customWidth="1"/>
  </cols>
  <sheetData>
    <row r="1" spans="1:4" s="1" customFormat="1" x14ac:dyDescent="0.25">
      <c r="A1" s="1" t="s">
        <v>0</v>
      </c>
      <c r="B1" s="1"/>
      <c r="C1" s="1"/>
      <c r="D1" s="1"/>
    </row>
    <row r="3" spans="1:4" s="2" customFormat="1" x14ac:dyDescent="0.25">
      <c r="A3" s="2" t="s">
        <v>1</v>
      </c>
      <c r="B3" s="2" t="s">
        <v>2</v>
      </c>
      <c r="C3" s="2" t="s">
        <v>2</v>
      </c>
      <c r="D3" s="2" t="s">
        <v>2</v>
      </c>
    </row>
    <row r="4" spans="1:4" x14ac:dyDescent="0.25">
      <c r="A4" t="s">
        <v>3</v>
      </c>
      <c r="B4" s="3" t="s">
        <v>4</v>
      </c>
      <c r="C4" t="s">
        <v>5</v>
      </c>
      <c r="D4" t="s">
        <v>6</v>
      </c>
    </row>
    <row r="5" spans="1:4" x14ac:dyDescent="0.25">
      <c r="A5" t="s">
        <v>7</v>
      </c>
      <c r="B5" s="3">
        <v>1200000</v>
      </c>
      <c r="C5" t="s">
        <v>8</v>
      </c>
      <c r="D5" t="s">
        <v>9</v>
      </c>
    </row>
    <row r="6" spans="1:4" x14ac:dyDescent="0.25">
      <c r="A6" t="s">
        <v>10</v>
      </c>
      <c r="B6" s="4">
        <v>2.2</v>
      </c>
      <c r="C6" t="s">
        <v>11</v>
      </c>
      <c r="D6" t="s">
        <v>12</v>
      </c>
    </row>
    <row r="7" spans="1:4" x14ac:dyDescent="0.25">
      <c r="A7" t="s">
        <v>13</v>
      </c>
      <c r="B7" s="3">
        <v>30</v>
      </c>
      <c r="C7" t="s">
        <v>14</v>
      </c>
      <c r="D7" t="s">
        <v>15</v>
      </c>
    </row>
    <row r="8" spans="1:4" x14ac:dyDescent="0.25">
      <c r="A8" t="s">
        <v>16</v>
      </c>
      <c r="B8" s="3">
        <v>80000</v>
      </c>
      <c r="C8" t="s">
        <v>8</v>
      </c>
      <c r="D8" t="s">
        <v>17</v>
      </c>
    </row>
    <row r="10" spans="1:4" s="2" customFormat="1" x14ac:dyDescent="0.25">
      <c r="A10" s="2" t="s">
        <v>18</v>
      </c>
      <c r="B10" s="2" t="s">
        <v>2</v>
      </c>
      <c r="C10" s="2" t="s">
        <v>2</v>
      </c>
      <c r="D10" s="2" t="s">
        <v>2</v>
      </c>
    </row>
    <row r="11" spans="1:4" x14ac:dyDescent="0.25">
      <c r="A11" t="s">
        <v>3</v>
      </c>
      <c r="B11" s="5" t="s">
        <v>19</v>
      </c>
      <c r="C11" t="s">
        <v>5</v>
      </c>
      <c r="D11" t="s">
        <v>20</v>
      </c>
    </row>
    <row r="12" spans="1:4" x14ac:dyDescent="0.25">
      <c r="A12" t="s">
        <v>21</v>
      </c>
      <c r="B12" s="3">
        <f>PMT(B6/12/100,B7*12,-B5)</f>
      </c>
      <c r="C12" t="s">
        <v>8</v>
      </c>
      <c r="D12" t="s">
        <v>22</v>
      </c>
    </row>
    <row r="13" spans="1:4" x14ac:dyDescent="0.25">
      <c r="A13" t="s">
        <v>23</v>
      </c>
      <c r="B13" s="3">
        <f>B5/(B7*12)+B5*B6/12/100</f>
      </c>
      <c r="C13" t="s">
        <v>8</v>
      </c>
      <c r="D13" t="s">
        <v>24</v>
      </c>
    </row>
    <row r="14" spans="1:4" x14ac:dyDescent="0.25">
      <c r="A14" t="s">
        <v>25</v>
      </c>
      <c r="B14" s="6">
        <f>B11*B7*12-B5</f>
      </c>
      <c r="C14" t="s">
        <v>8</v>
      </c>
      <c r="D14" t="s">
        <v>26</v>
      </c>
    </row>
    <row r="15" spans="1:4" x14ac:dyDescent="0.25">
      <c r="A15" t="s">
        <v>27</v>
      </c>
      <c r="B15" s="7">
        <f>IF(B8=0,0,B11/B8)</f>
      </c>
      <c r="C15" t="s">
        <v>28</v>
      </c>
      <c r="D15" t="s">
        <v>29</v>
      </c>
    </row>
    <row r="16" spans="1:4" x14ac:dyDescent="0.25">
      <c r="A16" t="s">
        <v>30</v>
      </c>
      <c r="B16">
        <f>B14*100</f>
      </c>
      <c r="C16" t="s">
        <v>11</v>
      </c>
      <c r="D16" t="s">
        <v>31</v>
      </c>
    </row>
    <row r="17" spans="1:4" x14ac:dyDescent="0.25">
      <c r="A17" t="s">
        <v>32</v>
      </c>
      <c r="B17">
        <f>IF(B15&gt;=50,"準備吃土：先降月付或拉高收入",IF(B15&gt;=35,"壓力偏高：月付偏緊","安全區：現金流尚可"))</f>
      </c>
      <c r="C17" t="s">
        <v>2</v>
      </c>
      <c r="D17" t="s">
        <v>33</v>
      </c>
    </row>
    <row r="19" spans="1:4" x14ac:dyDescent="0.25">
      <c r="A19" t="s">
        <v>34</v>
      </c>
      <c r="B19" t="s">
        <v>35</v>
      </c>
      <c r="C19" t="s">
        <v>2</v>
      </c>
      <c r="D19" t="s">
        <v>36</v>
      </c>
    </row>
    <row r="20" spans="1:4" x14ac:dyDescent="0.25">
      <c r="A20" t="s">
        <v>37</v>
      </c>
      <c r="B20" t="s">
        <v>38</v>
      </c>
      <c r="C20" t="s">
        <v>2</v>
      </c>
      <c r="D20" t="s">
        <v>39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貸款試算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財富自由計算機</dc:creator>
  <dc:title/>
  <dc:subject/>
  <dc:description/>
  <cp:keywords/>
  <cp:category/>
  <cp:lastModifiedBy>Unknown</cp:lastModifiedBy>
  <dcterms:created xsi:type="dcterms:W3CDTF">2026-06-05T14:39:01Z</dcterms:created>
  <dcterms:modified xsi:type="dcterms:W3CDTF">2026-06-05T14:39:01Z</dcterms:modified>
</cp:coreProperties>
</file>