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貸款試算" state="visible" r:id="rId4"/>
  </sheets>
  <calcPr calcId="171027"/>
</workbook>
</file>

<file path=xl/sharedStrings.xml><?xml version="1.0" encoding="utf-8"?>
<sst xmlns="http://schemas.openxmlformats.org/spreadsheetml/2006/main" count="35" uniqueCount="28">
  <si>
    <t>破產計算機 · 貸款利息試算表（公式可改）</t>
  </si>
  <si>
    <t/>
  </si>
  <si>
    <t>【輸入區】改 B 欄數字即可</t>
  </si>
  <si>
    <t>項目</t>
  </si>
  <si>
    <t>數值</t>
  </si>
  <si>
    <t>單位</t>
  </si>
  <si>
    <t>說明</t>
  </si>
  <si>
    <t>貸款本金</t>
  </si>
  <si>
    <t>NT$</t>
  </si>
  <si>
    <t>例：1200 萬</t>
  </si>
  <si>
    <t>年利率</t>
  </si>
  <si>
    <t>%</t>
  </si>
  <si>
    <t>例：2.2 純數字</t>
  </si>
  <si>
    <t>貸款年期</t>
  </si>
  <si>
    <t>年</t>
  </si>
  <si>
    <t>例：30 純數字</t>
  </si>
  <si>
    <t>月收入（預警）</t>
  </si>
  <si>
    <t>算 DTI 用</t>
  </si>
  <si>
    <t>【試算結果】</t>
  </si>
  <si>
    <t>結果</t>
  </si>
  <si>
    <t>公式說明</t>
  </si>
  <si>
    <t>本息均攤 · 每月繳款</t>
  </si>
  <si>
    <t>PMT：月利率＝年利率÷12÷100</t>
  </si>
  <si>
    <t>本息均攤 · 總繳利息</t>
  </si>
  <si>
    <t>總付款－本金</t>
  </si>
  <si>
    <t>DTI 債務收入比</t>
  </si>
  <si>
    <t>月付÷月收入；&lt;35% 安全；≥50% 預警</t>
  </si>
  <si>
    <t>財務健康狀態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</si>
</sst>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0" x14ac:knownFonts="1">
    <font>
      <color theme="1"/>
      <family val="2"/>
      <scheme val="minor"/>
      <sz val="11"/>
      <name val="Calibri"/>
    </font>
    <font>
      <b/>
      <color rgb="FF2D3748"/>
      <sz val="14"/>
      <name val="微軟正黑體"/>
    </font>
    <font>
      <b/>
      <color rgb="FF2D3748"/>
      <sz val="11"/>
      <name val="微軟正黑體"/>
    </font>
    <font>
      <b/>
      <color rgb="FF4A5568"/>
      <sz val="11"/>
      <name val="微軟正黑體"/>
    </font>
    <font>
      <color rgb="FF2D3748"/>
      <sz val="11"/>
      <name val="微軟正黑體"/>
    </font>
    <font>
      <b/>
      <color rgb="FF0284C7"/>
      <sz val="11"/>
      <name val="微軟正黑體"/>
    </font>
    <font>
      <color rgb="FF4A5568"/>
      <sz val="11"/>
      <name val="微軟正黑體"/>
    </font>
    <font>
      <b/>
      <color rgb="FF0369A1"/>
      <sz val="11"/>
      <name val="微軟正黑體"/>
    </font>
    <font>
      <b/>
      <color rgb="FFD97706"/>
      <sz val="11"/>
      <name val="微軟正黑體"/>
    </font>
    <font>
      <b/>
      <color rgb="FFDC2626"/>
      <sz val="11"/>
      <name val="微軟正黑體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F0F4F8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 indent="2"/>
    </xf>
    <xf numFmtId="0" fontId="2" fillId="3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indent="2"/>
    </xf>
    <xf numFmtId="3" fontId="5" fillId="2" borderId="1" xfId="0" applyNumberFormat="1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2" fontId="5" fillId="2" borderId="1" xfId="0" applyNumberFormat="1" applyFont="1" applyFill="1" applyBorder="1" applyAlignment="1">
      <alignment horizontal="right" vertical="center"/>
    </xf>
    <xf numFmtId="1" fontId="5" fillId="2" borderId="1" xfId="0" applyNumberFormat="1" applyFont="1" applyFill="1" applyBorder="1" applyAlignment="1">
      <alignment horizontal="right" vertical="center"/>
    </xf>
    <xf numFmtId="3" fontId="7" fillId="2" borderId="1" xfId="0" applyNumberFormat="1" applyFont="1" applyFill="1" applyBorder="1" applyAlignment="1">
      <alignment horizontal="right" vertical="center"/>
    </xf>
    <xf numFmtId="164" fontId="8" fillId="2" borderId="1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left" vertical="center" indent="2"/>
    </xf>
    <xf numFmtId="0" fontId="9" fillId="0" borderId="3" xfId="0" applyFont="1" applyBorder="1" applyAlignment="1">
      <alignment horizontal="left" vertical="center"/>
    </xf>
    <xf numFmtId="0" fontId="0" fillId="3" borderId="0" xfId="0" applyFill="1" applyAlignment="1">
      <alignment horizontal="left" vertical="center"/>
    </xf>
  </cellXfs>
  <cellStyles count="1">
    <cellStyle name="Normal" xfId="0" builtinId="0"/>
  </cellStyles>
  <dxfs count="3">
    <dxf>
      <font>
        <b/>
        <color rgb="FFDC2626"/>
        <sz val="11"/>
        <name val="微軟正黑體"/>
      </font>
      <fill>
        <patternFill patternType="solid">
          <bgColor rgb="FFFEF2F2"/>
        </patternFill>
      </fill>
    </dxf>
    <dxf>
      <font>
        <b/>
        <color rgb="FFD97706"/>
        <sz val="11"/>
        <name val="微軟正黑體"/>
      </font>
      <fill>
        <patternFill patternType="solid">
          <bgColor rgb="FFFFF7ED"/>
        </patternFill>
      </fill>
    </dxf>
    <dxf>
      <font>
        <b/>
        <color rgb="FF059669"/>
        <sz val="11"/>
        <name val="微軟正黑體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 showGridLines="0"/>
  </sheetViews>
  <sheetFormatPr defaultRowHeight="22" outlineLevelRow="0" outlineLevelCol="0" x14ac:dyDescent="55" customHeight="1"/>
  <cols>
    <col min="1" max="1" width="30" customWidth="1"/>
    <col min="2" max="2" width="20" customWidth="1"/>
    <col min="3" max="3" width="11" customWidth="1"/>
    <col min="4" max="4" width="56" customWidth="1"/>
  </cols>
  <sheetData>
    <row r="1" ht="32" customHeight="1" spans="1:4" x14ac:dyDescent="0.25">
      <c r="A1" s="1" t="s">
        <v>0</v>
      </c>
      <c r="B1" s="1"/>
      <c r="C1" s="1"/>
      <c r="D1" s="1"/>
    </row>
    <row r="2" ht="12" customHeight="1" spans="1:4" x14ac:dyDescent="0.25">
      <c r="A2" s="2" t="s">
        <v>1</v>
      </c>
      <c r="B2" s="2"/>
      <c r="C2" s="2"/>
      <c r="D2" s="2"/>
    </row>
    <row r="3" ht="28" customHeight="1" spans="1:4" x14ac:dyDescent="0.25">
      <c r="A3" s="2" t="s">
        <v>2</v>
      </c>
      <c r="B3" s="2"/>
      <c r="C3" s="2"/>
      <c r="D3" s="2"/>
    </row>
    <row r="4" ht="26" customHeight="1" spans="1:4" x14ac:dyDescent="0.25">
      <c r="A4" s="3" t="s">
        <v>3</v>
      </c>
      <c r="B4" s="4" t="s">
        <v>4</v>
      </c>
      <c r="C4" s="5" t="s">
        <v>5</v>
      </c>
      <c r="D4" s="6" t="s">
        <v>6</v>
      </c>
    </row>
    <row r="5" ht="24" customHeight="1" spans="1:4" x14ac:dyDescent="0.25">
      <c r="A5" s="7" t="s">
        <v>7</v>
      </c>
      <c r="B5" s="8">
        <v>12000000</v>
      </c>
      <c r="C5" s="9" t="s">
        <v>8</v>
      </c>
      <c r="D5" s="10" t="s">
        <v>9</v>
      </c>
    </row>
    <row r="6" ht="24" customHeight="1" spans="1:4" x14ac:dyDescent="0.25">
      <c r="A6" s="7" t="s">
        <v>10</v>
      </c>
      <c r="B6" s="11">
        <v>2.2</v>
      </c>
      <c r="C6" s="9" t="s">
        <v>11</v>
      </c>
      <c r="D6" s="10" t="s">
        <v>12</v>
      </c>
    </row>
    <row r="7" ht="24" customHeight="1" spans="1:4" x14ac:dyDescent="0.25">
      <c r="A7" s="7" t="s">
        <v>13</v>
      </c>
      <c r="B7" s="12">
        <v>30</v>
      </c>
      <c r="C7" s="9" t="s">
        <v>14</v>
      </c>
      <c r="D7" s="10" t="s">
        <v>15</v>
      </c>
    </row>
    <row r="8" ht="24" customHeight="1" spans="1:4" x14ac:dyDescent="0.25">
      <c r="A8" s="7" t="s">
        <v>16</v>
      </c>
      <c r="B8" s="8">
        <v>80000</v>
      </c>
      <c r="C8" s="9" t="s">
        <v>8</v>
      </c>
      <c r="D8" s="10" t="s">
        <v>17</v>
      </c>
    </row>
    <row r="9" ht="12" customHeight="1" spans="1:4" x14ac:dyDescent="0.25">
      <c r="A9" s="2" t="s">
        <v>1</v>
      </c>
      <c r="B9" s="2"/>
      <c r="C9" s="2"/>
      <c r="D9" s="2"/>
    </row>
    <row r="10" ht="28" customHeight="1" spans="1:4" x14ac:dyDescent="0.25">
      <c r="A10" s="2" t="s">
        <v>18</v>
      </c>
      <c r="B10" s="2"/>
      <c r="C10" s="2"/>
      <c r="D10" s="2"/>
    </row>
    <row r="11" ht="26" customHeight="1" spans="1:4" x14ac:dyDescent="0.25">
      <c r="A11" s="3" t="s">
        <v>3</v>
      </c>
      <c r="B11" s="4" t="s">
        <v>19</v>
      </c>
      <c r="C11" s="5" t="s">
        <v>5</v>
      </c>
      <c r="D11" s="6" t="s">
        <v>20</v>
      </c>
    </row>
    <row r="12" ht="24" customHeight="1" spans="1:4" x14ac:dyDescent="0.25">
      <c r="A12" s="7" t="s">
        <v>21</v>
      </c>
      <c r="B12" s="13">
        <f>PMT(B6/12/100,B7*12,-B5)</f>
      </c>
      <c r="C12" s="9" t="s">
        <v>8</v>
      </c>
      <c r="D12" s="10" t="s">
        <v>22</v>
      </c>
    </row>
    <row r="13" ht="24" customHeight="1" spans="1:4" x14ac:dyDescent="0.25">
      <c r="A13" s="7" t="s">
        <v>23</v>
      </c>
      <c r="B13" s="13">
        <f>B12*B7*12-B5</f>
      </c>
      <c r="C13" s="9" t="s">
        <v>8</v>
      </c>
      <c r="D13" s="10" t="s">
        <v>24</v>
      </c>
    </row>
    <row r="14" ht="24" customHeight="1" spans="1:4" x14ac:dyDescent="0.25">
      <c r="A14" s="7" t="s">
        <v>25</v>
      </c>
      <c r="B14" s="14">
        <f>IF(B8=0,0,B12/B8)</f>
      </c>
      <c r="C14" s="9" t="s">
        <v>11</v>
      </c>
      <c r="D14" s="10" t="s">
        <v>26</v>
      </c>
    </row>
    <row r="15" ht="28" customHeight="1" spans="1:4" x14ac:dyDescent="0.25">
      <c r="A15" s="15" t="s">
        <v>27</v>
      </c>
      <c r="B15" s="16">
        <f>IF(B14&gt;=0.5,"⚠ 破產預警：先降月付或拉高收入",IF(B14&gt;=0.35,"⚠ 壓力偏高：月付偏緊","✓ 安全區：現金流尚可"))</f>
      </c>
      <c r="C15" s="16"/>
      <c r="D15" s="16"/>
    </row>
    <row r="16" ht="24" customHeight="1" spans="1:4" x14ac:dyDescent="0.25">
      <c r="A16" s="17"/>
      <c r="B16" s="17"/>
      <c r="C16" s="17"/>
      <c r="D16" s="17"/>
    </row>
  </sheetData>
  <mergeCells count="7">
    <mergeCell ref="A1:D1"/>
    <mergeCell ref="A2:D2"/>
    <mergeCell ref="A3:D3"/>
    <mergeCell ref="A9:D9"/>
    <mergeCell ref="A10:D10"/>
    <mergeCell ref="B15:D15"/>
    <mergeCell ref="A16:D16"/>
  </mergeCells>
  <conditionalFormatting sqref="A15:D15">
    <cfRule type="expression" dxfId="0" priority="1">
      <formula>$B$14&gt;=0.5</formula>
    </cfRule>
    <cfRule type="expression" dxfId="1" priority="2">
      <formula>AND($B$14&gt;=0.35,$B$14&lt;0.5)</formula>
    </cfRule>
    <cfRule type="expression" dxfId="2" priority="3">
      <formula>$B$14&lt;0.35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貸款試算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財富自由計算機</dc:creator>
  <dc:title/>
  <dc:subject/>
  <dc:description/>
  <cp:keywords/>
  <cp:category/>
  <cp:lastModifiedBy>Unknown</cp:lastModifiedBy>
  <dcterms:created xsi:type="dcterms:W3CDTF">2026-06-07T13:06:47Z</dcterms:created>
  <dcterms:modified xsi:type="dcterms:W3CDTF">2026-06-07T13:06:47Z</dcterms:modified>
</cp:coreProperties>
</file>