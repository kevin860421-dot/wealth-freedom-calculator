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貸款試算" state="visible" r:id="rId4"/>
  </sheets>
  <calcPr calcId="171027"/>
</workbook>
</file>

<file path=xl/sharedStrings.xml><?xml version="1.0" encoding="utf-8"?>
<sst xmlns="http://schemas.openxmlformats.org/spreadsheetml/2006/main" count="55" uniqueCount="40">
  <si>
    <t>破產計算機 · 貸款利息試算表（公式可改）</t>
  </si>
  <si>
    <t>【輸入區】改 B 欄數字即可</t>
  </si>
  <si>
    <t/>
  </si>
  <si>
    <t>項目</t>
  </si>
  <si>
    <t>數值</t>
  </si>
  <si>
    <t>單位</t>
  </si>
  <si>
    <t>說明</t>
  </si>
  <si>
    <t>貸款本金</t>
  </si>
  <si>
    <t>NT$</t>
  </si>
  <si>
    <t>例：1200 萬</t>
  </si>
  <si>
    <t>年利率</t>
  </si>
  <si>
    <t>%</t>
  </si>
  <si>
    <t>例：2.2（純數字，非文字）</t>
  </si>
  <si>
    <t>貸款年期</t>
  </si>
  <si>
    <t>年</t>
  </si>
  <si>
    <t>例：30（純數字）</t>
  </si>
  <si>
    <t>月收入（預警）</t>
  </si>
  <si>
    <t>算 DTI 用</t>
  </si>
  <si>
    <t>【試算結果】</t>
  </si>
  <si>
    <t>結果</t>
  </si>
  <si>
    <t>公式說明</t>
  </si>
  <si>
    <t>本息均攤 · 每月繳款</t>
  </si>
  <si>
    <t>月利率 r＝年利率÷12÷100；n＝年期×12</t>
  </si>
  <si>
    <t>本金均攤 · 首期月付</t>
  </si>
  <si>
    <t>首期＝本金攤還＋首期利息</t>
  </si>
  <si>
    <t>本息均攤 · 總繳利息</t>
  </si>
  <si>
    <t>總付款－本金</t>
  </si>
  <si>
    <t>DTI（月付／月收入）</t>
  </si>
  <si>
    <t>比率</t>
  </si>
  <si>
    <t>建議 &lt;35% 較安全；≥50% 預警</t>
  </si>
  <si>
    <t>DTI 百分比</t>
  </si>
  <si>
    <t>破產計算機同款指標</t>
  </si>
  <si>
    <t>財務健康狀態</t>
  </si>
  <si>
    <t>DTI&gt;50% 自動顯示預警</t>
  </si>
  <si>
    <t>線上試算</t>
  </si>
  <si>
    <t>https://wealth-freedom-calculator.vercel.app/quick-11</t>
  </si>
  <si>
    <t>手動輸入嫌麻煩可回站內試算</t>
  </si>
  <si>
    <t>財富自由計算機</t>
  </si>
  <si>
    <t>https://wealth-freedom-calculator.vercel.app/</t>
  </si>
  <si>
    <t>長期 FIRE／股利課稅／54C 完整版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</si>
</sst>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&quot;%&quot;"/>
  </numFmts>
  <fonts count="9" x14ac:knownFonts="1">
    <font>
      <color theme="1"/>
      <family val="2"/>
      <scheme val="minor"/>
      <sz val="11"/>
      <name val="Calibri"/>
    </font>
    <font>
      <b/>
      <color rgb="FF2D3748"/>
      <sz val="14"/>
    </font>
    <font>
      <b/>
      <color rgb="FF2D3748"/>
    </font>
    <font>
      <b/>
      <color rgb="FF4A5568"/>
    </font>
    <font>
      <color rgb="FF2D3748"/>
    </font>
    <font>
      <b/>
      <color rgb="FF2563EB"/>
    </font>
    <font>
      <b/>
      <color rgb="FFB45309"/>
    </font>
    <font>
      <b/>
      <color rgb="FFDC2626"/>
    </font>
    <font>
      <u/>
      <color rgb="FF2563EB"/>
    </font>
  </fonts>
  <fills count="5">
    <fill>
      <patternFill patternType="none"/>
    </fill>
    <fill>
      <patternFill patternType="gray125"/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F0F4F8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vertical="center"/>
    </xf>
    <xf numFmtId="0" fontId="0" fillId="2" borderId="0" xfId="0" applyFill="1"/>
    <xf numFmtId="0" fontId="2" fillId="0" borderId="0" xfId="0" applyFont="1"/>
    <xf numFmtId="0" fontId="2" fillId="3" borderId="1" xfId="0" applyFont="1" applyFill="1" applyBorder="1" applyAlignment="1">
      <alignment vertical="center" wrapText="1"/>
    </xf>
    <xf numFmtId="0" fontId="3" fillId="0" borderId="0" xfId="0" applyFont="1"/>
    <xf numFmtId="0" fontId="3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2" fontId="5" fillId="3" borderId="1" xfId="0" applyNumberFormat="1" applyFont="1" applyFill="1" applyBorder="1" applyAlignment="1">
      <alignment horizontal="right" vertical="center" wrapText="1"/>
    </xf>
    <xf numFmtId="1" fontId="5" fillId="3" borderId="1" xfId="0" applyNumberFormat="1" applyFont="1" applyFill="1" applyBorder="1" applyAlignment="1">
      <alignment horizontal="right" vertical="center" wrapText="1"/>
    </xf>
    <xf numFmtId="0" fontId="2" fillId="2" borderId="0" xfId="0" applyFont="1" applyFill="1"/>
    <xf numFmtId="0" fontId="0" fillId="3" borderId="1" xfId="0" applyFill="1" applyBorder="1" applyAlignment="1">
      <alignment vertical="center" wrapText="1"/>
    </xf>
    <xf numFmtId="3" fontId="5" fillId="3" borderId="1" xfId="0" applyNumberFormat="1" applyFont="1" applyFill="1" applyBorder="1" applyAlignment="1">
      <alignment horizontal="right" vertical="center"/>
    </xf>
    <xf numFmtId="3" fontId="0" fillId="3" borderId="1" xfId="0" applyNumberFormat="1" applyFill="1" applyBorder="1" applyAlignment="1">
      <alignment horizontal="right" vertical="center"/>
    </xf>
    <xf numFmtId="10" fontId="0" fillId="3" borderId="1" xfId="0" applyNumberFormat="1" applyFill="1" applyBorder="1" applyAlignment="1">
      <alignment horizontal="right" vertical="center"/>
    </xf>
    <xf numFmtId="164" fontId="6" fillId="3" borderId="1" xfId="0" applyNumberFormat="1" applyFont="1" applyFill="1" applyBorder="1" applyAlignment="1">
      <alignment horizontal="right" vertical="center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ealth-freedom-calculator.vercel.app/quick-11" TargetMode="External"/><Relationship Id="rId2" Type="http://schemas.openxmlformats.org/officeDocument/2006/relationships/hyperlink" Target="https://wealth-freedom-calculator.vercel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pane ySplit="1" topLeftCell="A2" activePane="bottomLeft" state="frozen"/>
      <selection pane="bottomLeft"/>
    </sheetView>
  </sheetViews>
  <sheetFormatPr defaultRowHeight="22" outlineLevelRow="0" outlineLevelCol="0" x14ac:dyDescent="55" customHeight="1"/>
  <cols>
    <col min="1" max="1" width="24" customWidth="1"/>
    <col min="2" max="2" width="20" customWidth="1"/>
    <col min="3" max="3" width="12" customWidth="1"/>
    <col min="4" max="4" width="3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/>
      <c r="B2" s="2"/>
      <c r="C2" s="2"/>
      <c r="D2" s="2"/>
    </row>
    <row r="3" ht="22" customHeight="1" spans="1:4" s="3" customFormat="1" x14ac:dyDescent="0.25">
      <c r="A3" s="4" t="s">
        <v>1</v>
      </c>
      <c r="B3" s="4" t="s">
        <v>2</v>
      </c>
      <c r="C3" s="4" t="s">
        <v>2</v>
      </c>
      <c r="D3" s="4" t="s">
        <v>2</v>
      </c>
    </row>
    <row r="4" ht="24" customHeight="1" spans="1:4" s="5" customFormat="1" x14ac:dyDescent="0.25">
      <c r="A4" s="6" t="s">
        <v>3</v>
      </c>
      <c r="B4" s="6" t="s">
        <v>4</v>
      </c>
      <c r="C4" s="6" t="s">
        <v>5</v>
      </c>
      <c r="D4" s="6" t="s">
        <v>6</v>
      </c>
    </row>
    <row r="5" ht="22" customHeight="1" spans="1:4" x14ac:dyDescent="0.25">
      <c r="A5" s="7" t="s">
        <v>7</v>
      </c>
      <c r="B5" s="8">
        <v>12000000</v>
      </c>
      <c r="C5" s="7" t="s">
        <v>8</v>
      </c>
      <c r="D5" s="7" t="s">
        <v>9</v>
      </c>
    </row>
    <row r="6" ht="22" customHeight="1" spans="1:4" x14ac:dyDescent="0.25">
      <c r="A6" s="7" t="s">
        <v>10</v>
      </c>
      <c r="B6" s="9">
        <v>2.2</v>
      </c>
      <c r="C6" s="7" t="s">
        <v>11</v>
      </c>
      <c r="D6" s="7" t="s">
        <v>12</v>
      </c>
    </row>
    <row r="7" ht="22" customHeight="1" spans="1:4" x14ac:dyDescent="0.25">
      <c r="A7" s="7" t="s">
        <v>13</v>
      </c>
      <c r="B7" s="10">
        <v>30</v>
      </c>
      <c r="C7" s="7" t="s">
        <v>14</v>
      </c>
      <c r="D7" s="7" t="s">
        <v>15</v>
      </c>
    </row>
    <row r="8" ht="22" customHeight="1" spans="1:4" x14ac:dyDescent="0.25">
      <c r="A8" s="7" t="s">
        <v>16</v>
      </c>
      <c r="B8" s="8">
        <v>80000</v>
      </c>
      <c r="C8" s="7" t="s">
        <v>8</v>
      </c>
      <c r="D8" s="7" t="s">
        <v>17</v>
      </c>
    </row>
    <row r="9" ht="22" customHeight="1" spans="1:4" x14ac:dyDescent="0.25">
      <c r="A9" s="2"/>
      <c r="B9" s="2"/>
      <c r="C9" s="2"/>
      <c r="D9" s="2"/>
    </row>
    <row r="10" ht="22" customHeight="1" spans="1:4" s="3" customFormat="1" x14ac:dyDescent="0.25">
      <c r="A10" s="11" t="s">
        <v>18</v>
      </c>
      <c r="B10" s="11" t="s">
        <v>2</v>
      </c>
      <c r="C10" s="11" t="s">
        <v>2</v>
      </c>
      <c r="D10" s="11" t="s">
        <v>2</v>
      </c>
    </row>
    <row r="11" ht="24" customHeight="1" spans="1:4" s="5" customFormat="1" x14ac:dyDescent="0.25">
      <c r="A11" s="6" t="s">
        <v>3</v>
      </c>
      <c r="B11" s="6" t="s">
        <v>19</v>
      </c>
      <c r="C11" s="6" t="s">
        <v>5</v>
      </c>
      <c r="D11" s="6" t="s">
        <v>20</v>
      </c>
    </row>
    <row r="12" ht="22" customHeight="1" spans="1:4" x14ac:dyDescent="0.25">
      <c r="A12" s="12" t="s">
        <v>21</v>
      </c>
      <c r="B12" s="13">
        <f>PMT(B6/12/100,B7*12,-B5)</f>
      </c>
      <c r="C12" s="12" t="s">
        <v>8</v>
      </c>
      <c r="D12" s="12" t="s">
        <v>22</v>
      </c>
    </row>
    <row r="13" ht="22" customHeight="1" spans="1:4" x14ac:dyDescent="0.25">
      <c r="A13" s="12" t="s">
        <v>23</v>
      </c>
      <c r="B13" s="14">
        <f>B5/(B7*12)+B5*B6/12/100</f>
      </c>
      <c r="C13" s="12" t="s">
        <v>8</v>
      </c>
      <c r="D13" s="12" t="s">
        <v>24</v>
      </c>
    </row>
    <row r="14" ht="22" customHeight="1" spans="1:4" x14ac:dyDescent="0.25">
      <c r="A14" s="12" t="s">
        <v>25</v>
      </c>
      <c r="B14" s="14">
        <f>B12*B7*12-B5</f>
      </c>
      <c r="C14" s="12" t="s">
        <v>8</v>
      </c>
      <c r="D14" s="12" t="s">
        <v>26</v>
      </c>
    </row>
    <row r="15" ht="22" customHeight="1" spans="1:4" x14ac:dyDescent="0.25">
      <c r="A15" s="12" t="s">
        <v>27</v>
      </c>
      <c r="B15" s="15">
        <f>IF(B8=0,0,B12/B8)</f>
      </c>
      <c r="C15" s="12" t="s">
        <v>28</v>
      </c>
      <c r="D15" s="12" t="s">
        <v>29</v>
      </c>
    </row>
    <row r="16" ht="22" customHeight="1" spans="1:4" x14ac:dyDescent="0.25">
      <c r="A16" s="12" t="s">
        <v>30</v>
      </c>
      <c r="B16" s="16">
        <f>B15*100</f>
      </c>
      <c r="C16" s="12" t="s">
        <v>11</v>
      </c>
      <c r="D16" s="12" t="s">
        <v>31</v>
      </c>
    </row>
    <row r="17" ht="22" customHeight="1" spans="1:4" x14ac:dyDescent="0.25">
      <c r="A17" s="17" t="s">
        <v>32</v>
      </c>
      <c r="B17" s="18">
        <f>IF(B16&gt;=50,"⚠ 破產預警：先降月付或拉高收入",IF(B16&gt;=35,"⚠ 壓力偏高：月付偏緊","✓ 安全區：現金流尚可"))</f>
      </c>
      <c r="C17" s="12" t="s">
        <v>2</v>
      </c>
      <c r="D17" s="12" t="s">
        <v>33</v>
      </c>
    </row>
    <row r="18" ht="22" customHeight="1" spans="1:4" x14ac:dyDescent="0.25">
      <c r="A18" s="2"/>
      <c r="B18" s="2"/>
      <c r="C18" s="2"/>
      <c r="D18" s="2"/>
    </row>
    <row r="19" ht="22" customHeight="1" spans="1:4" x14ac:dyDescent="0.25">
      <c r="A19" s="2" t="s">
        <v>34</v>
      </c>
      <c r="B19" s="19" t="s">
        <v>35</v>
      </c>
      <c r="C19" s="2" t="s">
        <v>2</v>
      </c>
      <c r="D19" s="2" t="s">
        <v>36</v>
      </c>
    </row>
    <row r="20" ht="22" customHeight="1" spans="1:4" x14ac:dyDescent="0.25">
      <c r="A20" s="2" t="s">
        <v>37</v>
      </c>
      <c r="B20" s="19" t="s">
        <v>38</v>
      </c>
      <c r="C20" s="2" t="s">
        <v>2</v>
      </c>
      <c r="D20" s="2" t="s">
        <v>39</v>
      </c>
    </row>
  </sheetData>
  <mergeCells count="1">
    <mergeCell ref="A1:D1"/>
  </mergeCells>
  <hyperlinks>
    <hyperlink ref="B19" r:id="rId1"/>
    <hyperlink ref="B20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貸款試算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財富自由計算機</dc:creator>
  <dc:title/>
  <dc:subject/>
  <dc:description/>
  <cp:keywords/>
  <cp:category/>
  <cp:lastModifiedBy>Unknown</cp:lastModifiedBy>
  <dcterms:created xsi:type="dcterms:W3CDTF">2026-06-07T07:29:31Z</dcterms:created>
  <dcterms:modified xsi:type="dcterms:W3CDTF">2026-06-07T07:29:31Z</dcterms:modified>
</cp:coreProperties>
</file>