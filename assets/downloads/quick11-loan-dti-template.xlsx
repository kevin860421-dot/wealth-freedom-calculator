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首頁" state="visible" r:id="rId4"/>
    <sheet sheetId="2" name="本息均攤" state="visible" r:id="rId5"/>
    <sheet sheetId="3" name="本金平均" state="visible" r:id="rId6"/>
  </sheets>
  <calcPr calcId="171027"/>
</workbook>
</file>

<file path=xl/sharedStrings.xml><?xml version="1.0" encoding="utf-8"?>
<sst xmlns="http://schemas.openxmlformats.org/spreadsheetml/2006/main" count="98" uniqueCount="56">
  <si>
    <t>破產計算機 · 貸款利息試算表（公式可改）</t>
  </si>
  <si>
    <t>v6a-chart-dynamic-presets</t>
  </si>
  <si>
    <t>principal_list</t>
  </si>
  <si>
    <t>income_list</t>
  </si>
  <si>
    <t>【 輸入區 】B 欄 ▾ 下拉；C/D ± 微調；右側圖表（最長 50 年）</t>
  </si>
  <si>
    <t>貸款模式</t>
  </si>
  <si>
    <t/>
  </si>
  <si>
    <t>xlsm：點選左側六顆色按鈕一鍵套用（機車／汽車／信貸／房貸／學貸／裝潢）</t>
  </si>
  <si>
    <t>輸入參數</t>
  </si>
  <si>
    <t>參數總覽</t>
  </si>
  <si>
    <t>項目</t>
  </si>
  <si>
    <t>▾ 可選</t>
  </si>
  <si>
    <t>+</t>
  </si>
  <si>
    <t>−</t>
  </si>
  <si>
    <t>單位</t>
  </si>
  <si>
    <t>說明</t>
  </si>
  <si>
    <t>摘要</t>
  </si>
  <si>
    <t>數值</t>
  </si>
  <si>
    <t>貸款本金</t>
  </si>
  <si>
    <t>-</t>
  </si>
  <si>
    <t>NT$</t>
  </si>
  <si>
    <t>可輸入或 B 欄下拉快選</t>
  </si>
  <si>
    <t>年利率</t>
  </si>
  <si>
    <t>%</t>
  </si>
  <si>
    <t>例：2.2；可下拉</t>
  </si>
  <si>
    <t>貸款年期</t>
  </si>
  <si>
    <t>年</t>
  </si>
  <si>
    <t>可下拉 5～50 年</t>
  </si>
  <si>
    <t>月收入（預警）</t>
  </si>
  <si>
    <t>算 DTI 用</t>
  </si>
  <si>
    <t>試算結果</t>
  </si>
  <si>
    <t>資金總覽</t>
  </si>
  <si>
    <t>結果</t>
  </si>
  <si>
    <t>公式說明</t>
  </si>
  <si>
    <t>▸ 本息均攤 · 每期明細</t>
  </si>
  <si>
    <t>本息均攤 · 每月繳款</t>
  </si>
  <si>
    <t>▸ 本金平均 · 每期明細</t>
  </si>
  <si>
    <t>本金平均 · 首期月付</t>
  </si>
  <si>
    <t>本息均攤 · 總繳利息</t>
  </si>
  <si>
    <t>總付款－本金</t>
  </si>
  <si>
    <t>總繳金額</t>
  </si>
  <si>
    <t>DTI 債務收入比</t>
  </si>
  <si>
    <t>月付÷月收入；&lt;35% 安全；≥50% 預警</t>
  </si>
  <si>
    <t>利息佔本金比例</t>
  </si>
  <si>
    <t>（試算結果僅供參考，實際以銀行／法令為準；負債比建議＜35%，≥50% 為破產預警。）</t>
  </si>
  <si>
    <t>←  回首頁</t>
  </si>
  <si>
    <t>本息均攤 · 每期繳款明細（連動首頁 B 欄）</t>
  </si>
  <si>
    <t>annuity</t>
  </si>
  <si>
    <t>右側視窗：【檢視】→【新建視窗】→【並排顯示】→ 拖曳此視窗到螢幕右邊｜改首頁 B6～B8 後此表自動重算</t>
  </si>
  <si>
    <t>期數</t>
  </si>
  <si>
    <t>每期還款</t>
  </si>
  <si>
    <t>每期利息</t>
  </si>
  <si>
    <t>每期本金</t>
  </si>
  <si>
    <t>剩餘本金</t>
  </si>
  <si>
    <t>本金平均 · 每期繳款明細（連動首頁 B 欄）</t>
  </si>
  <si>
    <t>equalPrincipal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</si>
</sst>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9" x14ac:knownFonts="1">
    <font>
      <color theme="1"/>
      <family val="2"/>
      <scheme val="minor"/>
      <sz val="11"/>
      <name val="Calibri"/>
    </font>
    <font>
      <b/>
      <color rgb="FFFFFFFF"/>
      <sz val="15"/>
      <name val="微軟正黑體"/>
    </font>
    <font>
      <color rgb="FF64748B"/>
      <sz val="9"/>
      <name val="微軟正黑體"/>
    </font>
    <font>
      <b/>
      <color rgb="FF475569"/>
      <sz val="11"/>
      <name val="微軟正黑體"/>
    </font>
    <font>
      <b/>
      <color rgb="FF1E293B"/>
      <sz val="11"/>
      <name val="微軟正黑體"/>
    </font>
    <font>
      <color rgb="FF64748B"/>
      <sz val="10"/>
      <name val="微軟正黑體"/>
    </font>
    <font>
      <b/>
      <color rgb="FFFFFFFF"/>
      <sz val="11"/>
      <name val="微軟正黑體"/>
    </font>
    <font>
      <color rgb="FF1E293B"/>
      <sz val="11"/>
      <name val="微軟正黑體"/>
    </font>
    <font>
      <b/>
      <color rgb="FF1E293B"/>
      <sz val="12"/>
      <name val="微軟正黑體"/>
    </font>
    <font>
      <b/>
      <color rgb="FF059669"/>
      <sz val="14"/>
      <name val="微軟正黑體"/>
    </font>
    <font>
      <b/>
      <color rgb="FFEA580C"/>
      <sz val="14"/>
      <name val="微軟正黑體"/>
    </font>
    <font>
      <color rgb="FF475569"/>
      <sz val="10"/>
      <name val="微軟正黑體"/>
    </font>
    <font>
      <b/>
      <color rgb="FF0369A1"/>
      <sz val="11"/>
      <name val="微軟正黑體"/>
    </font>
    <font>
      <b/>
      <color rgb="FFEA580C"/>
      <sz val="11"/>
      <name val="微軟正黑體"/>
    </font>
    <font>
      <b/>
      <color rgb="FFDC2626"/>
      <sz val="11"/>
      <name val="微軟正黑體"/>
    </font>
    <font>
      <b/>
      <color rgb="FFFFFFFF"/>
      <sz val="12"/>
      <name val="微軟正黑體"/>
    </font>
    <font>
      <b/>
      <color rgb="FF1E293B"/>
      <sz val="13"/>
      <name val="微軟正黑體"/>
    </font>
    <font>
      <color rgb="FF1E293B"/>
      <sz val="10"/>
      <name val="微軟正黑體"/>
    </font>
    <font>
      <color rgb="FF0369A1"/>
      <sz val="10"/>
      <name val="微軟正黑體"/>
    </font>
  </fonts>
  <fills count="13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F8F9FA"/>
      </patternFill>
    </fill>
    <fill>
      <patternFill patternType="solid">
        <fgColor rgb="FFF0F9FF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FFBEB"/>
      </patternFill>
    </fill>
    <fill>
      <patternFill patternType="solid">
        <fgColor rgb="FFECFDF5"/>
      </patternFill>
    </fill>
    <fill>
      <patternFill patternType="solid">
        <fgColor rgb="FFFFF7ED"/>
      </patternFill>
    </fill>
    <fill>
      <patternFill patternType="solid">
        <fgColor rgb="FF0284C7"/>
      </patternFill>
    </fill>
    <fill>
      <patternFill patternType="solid">
        <fgColor rgb="FF059669"/>
      </patternFill>
    </fill>
    <fill>
      <patternFill patternType="solid">
        <fgColor rgb="FFFEF2F2"/>
      </patternFill>
    </fill>
  </fills>
  <borders count="6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F59E0B"/>
      </left>
      <right style="medium">
        <color rgb="FFF59E0B"/>
      </right>
      <top style="medium">
        <color rgb="FFF59E0B"/>
      </top>
      <bottom style="medium">
        <color rgb="FFF59E0B"/>
      </bottom>
      <diagonal/>
    </border>
    <border>
      <left style="medium">
        <color rgb="FFF59E0B"/>
      </left>
      <right style="medium">
        <color rgb="FFF59E0B"/>
      </right>
      <top style="medium">
        <color rgb="FFF59E0B"/>
      </top>
      <bottom style="thin">
        <color rgb="FFE2E8F0"/>
      </bottom>
      <diagonal/>
    </border>
    <border>
      <left style="medium">
        <color rgb="FF0284C7"/>
      </left>
      <right style="medium">
        <color rgb="FF0284C7"/>
      </right>
      <top style="medium">
        <color rgb="FF0284C7"/>
      </top>
      <bottom style="medium">
        <color rgb="FF0284C7"/>
      </bottom>
      <diagonal/>
    </border>
    <border>
      <left style="medium">
        <color rgb="FF059669"/>
      </left>
      <right style="medium">
        <color rgb="FF059669"/>
      </right>
      <top style="medium">
        <color rgb="FF059669"/>
      </top>
      <bottom style="medium">
        <color rgb="FF05966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0" fillId="4" borderId="1" xfId="0" applyFill="1" applyBorder="1"/>
    <xf numFmtId="0" fontId="5" fillId="4" borderId="1" xfId="0" applyFont="1" applyFill="1" applyBorder="1" applyAlignment="1">
      <alignment horizontal="left" vertical="center" wrapText="1" indent="1"/>
    </xf>
    <xf numFmtId="0" fontId="0" fillId="3" borderId="0" xfId="0" applyFill="1"/>
    <xf numFmtId="0" fontId="6" fillId="2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 indent="1"/>
    </xf>
    <xf numFmtId="3" fontId="8" fillId="7" borderId="2" xfId="0" applyNumberFormat="1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3" fontId="12" fillId="6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 indent="1"/>
    </xf>
    <xf numFmtId="2" fontId="8" fillId="7" borderId="2" xfId="0" applyNumberFormat="1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right" vertical="center"/>
    </xf>
    <xf numFmtId="1" fontId="8" fillId="7" borderId="2" xfId="0" applyNumberFormat="1" applyFont="1" applyFill="1" applyBorder="1" applyAlignment="1">
      <alignment horizontal="right" vertical="center"/>
    </xf>
    <xf numFmtId="3" fontId="8" fillId="7" borderId="3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 indent="1"/>
    </xf>
    <xf numFmtId="0" fontId="0" fillId="6" borderId="1" xfId="0" applyFill="1" applyBorder="1"/>
    <xf numFmtId="0" fontId="6" fillId="11" borderId="1" xfId="0" applyFont="1" applyFill="1" applyBorder="1" applyAlignment="1">
      <alignment horizontal="left" vertical="center" indent="1"/>
    </xf>
    <xf numFmtId="3" fontId="12" fillId="4" borderId="1" xfId="0" applyNumberFormat="1" applyFont="1" applyFill="1" applyBorder="1" applyAlignment="1">
      <alignment horizontal="right" vertical="center"/>
    </xf>
    <xf numFmtId="164" fontId="13" fillId="6" borderId="1" xfId="0" applyNumberFormat="1" applyFont="1" applyFill="1" applyBorder="1" applyAlignment="1">
      <alignment horizontal="right" vertical="center"/>
    </xf>
    <xf numFmtId="10" fontId="12" fillId="4" borderId="1" xfId="0" applyNumberFormat="1" applyFont="1" applyFill="1" applyBorder="1" applyAlignment="1">
      <alignment horizontal="right" vertical="center"/>
    </xf>
    <xf numFmtId="0" fontId="14" fillId="12" borderId="1" xfId="0" applyFont="1" applyFill="1" applyBorder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5" fillId="10" borderId="4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 indent="1"/>
    </xf>
    <xf numFmtId="0" fontId="11" fillId="4" borderId="0" xfId="0" applyFont="1" applyFill="1" applyAlignment="1">
      <alignment horizontal="left" vertical="center" wrapText="1" indent="1"/>
    </xf>
    <xf numFmtId="0" fontId="17" fillId="6" borderId="1" xfId="0" applyFont="1" applyFill="1" applyBorder="1" applyAlignment="1">
      <alignment horizontal="center" vertical="center"/>
    </xf>
    <xf numFmtId="3" fontId="18" fillId="6" borderId="1" xfId="0" applyNumberFormat="1" applyFont="1" applyFill="1" applyBorder="1" applyAlignment="1">
      <alignment horizontal="right" vertical="center"/>
    </xf>
    <xf numFmtId="3" fontId="17" fillId="6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0" fontId="17" fillId="4" borderId="1" xfId="0" applyFont="1" applyFill="1" applyBorder="1" applyAlignment="1">
      <alignment horizontal="center" vertical="center"/>
    </xf>
    <xf numFmtId="3" fontId="18" fillId="4" borderId="1" xfId="0" applyNumberFormat="1" applyFont="1" applyFill="1" applyBorder="1" applyAlignment="1">
      <alignment horizontal="right" vertical="center"/>
    </xf>
    <xf numFmtId="3" fontId="17" fillId="4" borderId="1" xfId="0" applyNumberFormat="1" applyFont="1" applyFill="1" applyBorder="1" applyAlignment="1">
      <alignment horizontal="right" vertical="center"/>
    </xf>
    <xf numFmtId="0" fontId="15" fillId="11" borderId="5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color rgb="FFDC2626"/>
        <sz val="11"/>
        <name val="微軟正黑體"/>
      </font>
    </dxf>
    <dxf>
      <font>
        <b/>
        <color rgb="FFEA580C"/>
        <sz val="11"/>
        <name val="微軟正黑體"/>
      </font>
    </dxf>
    <dxf>
      <font>
        <b/>
        <color rgb="FFDC2626"/>
        <sz val="11"/>
        <name val="微軟正黑體"/>
      </font>
      <fill>
        <patternFill patternType="solid">
          <bgColor rgb="FFFEF2F2"/>
        </patternFill>
      </fill>
    </dxf>
    <dxf>
      <font>
        <b/>
        <color rgb="FFEA580C"/>
        <sz val="11"/>
        <name val="微軟正黑體"/>
      </font>
      <fill>
        <patternFill patternType="solid">
          <bgColor rgb="FFFFF7ED"/>
        </patternFill>
      </fill>
    </dxf>
    <dxf>
      <font>
        <b/>
        <color rgb="FF059669"/>
        <sz val="11"/>
        <name val="微軟正黑體"/>
      </font>
      <fill>
        <patternFill patternType="solid">
          <bgColor rgb="FFECFDF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26412;&#24687;&#22343;&#25892;&apos;!A1" TargetMode="External"/><Relationship Id="rId2" Type="http://schemas.openxmlformats.org/officeDocument/2006/relationships/hyperlink" Target="#&apos;&#26412;&#37329;&#24179;&#22343;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&#39318;&#38913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39318;&#38913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AE42"/>
  <sheetViews>
    <sheetView workbookViewId="0" showGridLines="0" zoomScale="100"/>
  </sheetViews>
  <sheetFormatPr defaultRowHeight="24" outlineLevelRow="0" outlineLevelCol="0" x14ac:dyDescent="55" customHeight="1"/>
  <cols>
    <col min="1" max="1" width="24" customWidth="1"/>
    <col min="2" max="2" width="17" customWidth="1"/>
    <col min="3" max="4" width="5.5" customWidth="1"/>
    <col min="6" max="6" width="42" customWidth="1"/>
    <col min="7" max="7" width="2" customWidth="1"/>
    <col min="8" max="8" width="22" customWidth="1"/>
    <col min="9" max="9" width="17" customWidth="1"/>
    <col min="10" max="12" width="10" customWidth="1"/>
    <col min="30" max="30" width="9" hidden="1" customWidth="1"/>
    <col min="31" max="31" width="9" hidden="1" customWidth="1"/>
  </cols>
  <sheetData>
    <row r="1" ht="34" customHeight="1" spans="1:3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K1" s="2" t="s">
        <v>1</v>
      </c>
      <c r="AD1" t="s">
        <v>2</v>
      </c>
      <c r="AE1" t="s">
        <v>3</v>
      </c>
    </row>
    <row r="2" ht="24" customHeight="1" spans="1:31" x14ac:dyDescent="0.25">
      <c r="A2" s="3" t="s">
        <v>4</v>
      </c>
      <c r="B2" s="3"/>
      <c r="C2" s="3"/>
      <c r="D2" s="3"/>
      <c r="E2" s="3"/>
      <c r="F2" s="3"/>
      <c r="G2" s="3"/>
      <c r="H2" s="3"/>
      <c r="I2" s="3"/>
      <c r="AD2">
        <v>5000000</v>
      </c>
      <c r="AE2">
        <v>50000</v>
      </c>
    </row>
    <row r="3" ht="30" customHeight="1" spans="1:31" x14ac:dyDescent="0.25">
      <c r="A3" s="4" t="s">
        <v>5</v>
      </c>
      <c r="B3" s="5" t="s">
        <v>6</v>
      </c>
      <c r="C3" s="5" t="s">
        <v>6</v>
      </c>
      <c r="D3" s="5" t="s">
        <v>6</v>
      </c>
      <c r="E3" s="6" t="s">
        <v>7</v>
      </c>
      <c r="F3" s="6"/>
      <c r="G3" s="5" t="s">
        <v>6</v>
      </c>
      <c r="H3" s="7"/>
      <c r="I3" s="7"/>
      <c r="AD3">
        <v>5500000</v>
      </c>
      <c r="AE3">
        <v>55000</v>
      </c>
    </row>
    <row r="4" ht="28" customHeight="1" spans="1:31" x14ac:dyDescent="0.25">
      <c r="A4" s="8" t="s">
        <v>8</v>
      </c>
      <c r="B4" s="8"/>
      <c r="C4" s="8"/>
      <c r="D4" s="8"/>
      <c r="E4" s="8"/>
      <c r="F4" s="8"/>
      <c r="G4" s="7"/>
      <c r="H4" s="8" t="s">
        <v>9</v>
      </c>
      <c r="I4" s="8"/>
      <c r="AD4">
        <v>6000000</v>
      </c>
      <c r="AE4">
        <v>60000</v>
      </c>
    </row>
    <row r="5" ht="26" customHeight="1" spans="1:31" x14ac:dyDescent="0.25">
      <c r="A5" s="9" t="s">
        <v>10</v>
      </c>
      <c r="B5" s="10" t="s">
        <v>11</v>
      </c>
      <c r="C5" s="10" t="s">
        <v>12</v>
      </c>
      <c r="D5" s="10" t="s">
        <v>13</v>
      </c>
      <c r="E5" s="10" t="s">
        <v>14</v>
      </c>
      <c r="F5" s="10" t="s">
        <v>15</v>
      </c>
      <c r="G5" s="7"/>
      <c r="H5" s="9" t="s">
        <v>16</v>
      </c>
      <c r="I5" s="10" t="s">
        <v>17</v>
      </c>
      <c r="AD5">
        <v>6500000</v>
      </c>
      <c r="AE5">
        <v>65000</v>
      </c>
    </row>
    <row r="6" ht="26" customHeight="1" spans="1:31" x14ac:dyDescent="0.25">
      <c r="A6" s="11" t="s">
        <v>18</v>
      </c>
      <c r="B6" s="12">
        <v>12000000</v>
      </c>
      <c r="C6" s="13" t="s">
        <v>12</v>
      </c>
      <c r="D6" s="14" t="s">
        <v>19</v>
      </c>
      <c r="E6" s="15" t="s">
        <v>20</v>
      </c>
      <c r="F6" s="16" t="s">
        <v>21</v>
      </c>
      <c r="G6" s="7"/>
      <c r="H6" s="11" t="s">
        <v>18</v>
      </c>
      <c r="I6" s="17">
        <f>B6</f>
      </c>
      <c r="AD6">
        <v>7000000</v>
      </c>
      <c r="AE6">
        <v>70000</v>
      </c>
    </row>
    <row r="7" ht="26" customHeight="1" spans="1:31" x14ac:dyDescent="0.25">
      <c r="A7" s="18" t="s">
        <v>22</v>
      </c>
      <c r="B7" s="19">
        <v>2.2</v>
      </c>
      <c r="C7" s="13" t="s">
        <v>12</v>
      </c>
      <c r="D7" s="14" t="s">
        <v>19</v>
      </c>
      <c r="E7" s="20" t="s">
        <v>23</v>
      </c>
      <c r="F7" s="21" t="s">
        <v>24</v>
      </c>
      <c r="G7" s="7"/>
      <c r="H7" s="11" t="s">
        <v>22</v>
      </c>
      <c r="I7" s="22">
        <f>TEXT(B7,"0.00")&amp;"%"</f>
      </c>
      <c r="AD7">
        <v>7500000</v>
      </c>
      <c r="AE7">
        <v>75000</v>
      </c>
    </row>
    <row r="8" ht="26" customHeight="1" spans="1:31" x14ac:dyDescent="0.25">
      <c r="A8" s="11" t="s">
        <v>25</v>
      </c>
      <c r="B8" s="23">
        <v>30</v>
      </c>
      <c r="C8" s="13" t="s">
        <v>12</v>
      </c>
      <c r="D8" s="14" t="s">
        <v>19</v>
      </c>
      <c r="E8" s="15" t="s">
        <v>26</v>
      </c>
      <c r="F8" s="16" t="s">
        <v>27</v>
      </c>
      <c r="G8" s="7"/>
      <c r="H8" s="11" t="s">
        <v>25</v>
      </c>
      <c r="I8" s="22">
        <f>TEXT(B8,"0")&amp;" 年"</f>
      </c>
      <c r="AD8">
        <v>8000000</v>
      </c>
      <c r="AE8">
        <v>80000</v>
      </c>
    </row>
    <row r="9" ht="26" customHeight="1" spans="1:31" x14ac:dyDescent="0.25">
      <c r="A9" s="18" t="s">
        <v>28</v>
      </c>
      <c r="B9" s="24">
        <v>80000</v>
      </c>
      <c r="C9" s="13" t="s">
        <v>12</v>
      </c>
      <c r="D9" s="14" t="s">
        <v>19</v>
      </c>
      <c r="E9" s="20" t="s">
        <v>20</v>
      </c>
      <c r="F9" s="21" t="s">
        <v>29</v>
      </c>
      <c r="G9" s="7"/>
      <c r="H9" s="11" t="s">
        <v>28</v>
      </c>
      <c r="I9" s="17">
        <f>B9</f>
      </c>
      <c r="AD9">
        <v>8500000</v>
      </c>
      <c r="AE9">
        <v>85000</v>
      </c>
    </row>
    <row r="10" ht="10" customHeight="1" spans="1:31" x14ac:dyDescent="0.25">
      <c r="A10" s="7"/>
      <c r="B10" s="7"/>
      <c r="C10" s="7"/>
      <c r="D10" s="7"/>
      <c r="E10" s="7"/>
      <c r="F10" s="7"/>
      <c r="G10" s="7"/>
      <c r="H10" s="7"/>
      <c r="I10" s="7"/>
      <c r="AD10">
        <v>9000000</v>
      </c>
      <c r="AE10">
        <v>90000</v>
      </c>
    </row>
    <row r="11" ht="28" customHeight="1" spans="1:31" x14ac:dyDescent="0.25">
      <c r="A11" s="8" t="s">
        <v>30</v>
      </c>
      <c r="B11" s="8"/>
      <c r="C11" s="8"/>
      <c r="D11" s="8"/>
      <c r="E11" s="8"/>
      <c r="F11" s="8"/>
      <c r="G11" s="7"/>
      <c r="H11" s="8" t="s">
        <v>31</v>
      </c>
      <c r="I11" s="8"/>
      <c r="AD11">
        <v>9500000</v>
      </c>
      <c r="AE11">
        <v>95000</v>
      </c>
    </row>
    <row r="12" ht="26" customHeight="1" spans="1:31" x14ac:dyDescent="0.25">
      <c r="A12" s="9" t="s">
        <v>10</v>
      </c>
      <c r="B12" s="10" t="s">
        <v>32</v>
      </c>
      <c r="C12" s="10" t="s">
        <v>6</v>
      </c>
      <c r="D12" s="10" t="s">
        <v>6</v>
      </c>
      <c r="E12" s="10" t="s">
        <v>14</v>
      </c>
      <c r="F12" s="10" t="s">
        <v>33</v>
      </c>
      <c r="G12" s="7"/>
      <c r="H12" s="9" t="s">
        <v>16</v>
      </c>
      <c r="I12" s="10" t="s">
        <v>17</v>
      </c>
      <c r="AD12">
        <v>10000000</v>
      </c>
      <c r="AE12">
        <v>100000</v>
      </c>
    </row>
    <row r="13" ht="26" customHeight="1" spans="1:31" x14ac:dyDescent="0.25">
      <c r="A13" s="25" t="s">
        <v>34</v>
      </c>
      <c r="B13" s="17">
        <f>PMT(B7/12/100,B8*12,-B6)</f>
      </c>
      <c r="C13" s="26" t="s">
        <v>6</v>
      </c>
      <c r="D13" s="26" t="s">
        <v>6</v>
      </c>
      <c r="E13" s="15" t="s">
        <v>20</v>
      </c>
      <c r="F13" s="16" t="s">
        <v>6</v>
      </c>
      <c r="G13" s="7"/>
      <c r="H13" s="11" t="s">
        <v>35</v>
      </c>
      <c r="I13" s="17">
        <f>B13</f>
      </c>
      <c r="AD13">
        <v>10500000</v>
      </c>
      <c r="AE13">
        <v>105000</v>
      </c>
    </row>
    <row r="14" ht="26" customHeight="1" spans="1:31" x14ac:dyDescent="0.25">
      <c r="A14" s="27" t="s">
        <v>36</v>
      </c>
      <c r="B14" s="28">
        <f>B6*(B7/12/100)+B6/(B8*12)</f>
      </c>
      <c r="C14" s="5" t="s">
        <v>6</v>
      </c>
      <c r="D14" s="5" t="s">
        <v>6</v>
      </c>
      <c r="E14" s="20" t="s">
        <v>20</v>
      </c>
      <c r="F14" s="21" t="s">
        <v>6</v>
      </c>
      <c r="G14" s="7"/>
      <c r="H14" s="11" t="s">
        <v>37</v>
      </c>
      <c r="I14" s="17">
        <f>B14</f>
      </c>
      <c r="AD14">
        <v>11000000</v>
      </c>
      <c r="AE14">
        <v>110000</v>
      </c>
    </row>
    <row r="15" ht="26" customHeight="1" spans="1:31" x14ac:dyDescent="0.25">
      <c r="A15" s="18" t="s">
        <v>38</v>
      </c>
      <c r="B15" s="28">
        <f>B13*B8*12-B6</f>
      </c>
      <c r="C15" s="5" t="s">
        <v>6</v>
      </c>
      <c r="D15" s="5" t="s">
        <v>6</v>
      </c>
      <c r="E15" s="20" t="s">
        <v>20</v>
      </c>
      <c r="F15" s="21" t="s">
        <v>39</v>
      </c>
      <c r="G15" s="7"/>
      <c r="H15" s="11" t="s">
        <v>40</v>
      </c>
      <c r="I15" s="17">
        <f>B6+B15</f>
      </c>
      <c r="AD15">
        <v>11500000</v>
      </c>
      <c r="AE15">
        <v>115000</v>
      </c>
    </row>
    <row r="16" ht="26" customHeight="1" spans="1:31" x14ac:dyDescent="0.25">
      <c r="A16" s="11" t="s">
        <v>41</v>
      </c>
      <c r="B16" s="29">
        <f>IF(B9=0,0,B13/B9)</f>
      </c>
      <c r="C16" s="26" t="s">
        <v>6</v>
      </c>
      <c r="D16" s="26" t="s">
        <v>6</v>
      </c>
      <c r="E16" s="15" t="s">
        <v>23</v>
      </c>
      <c r="F16" s="16" t="s">
        <v>42</v>
      </c>
      <c r="G16" s="7"/>
      <c r="H16" s="18" t="s">
        <v>43</v>
      </c>
      <c r="I16" s="30">
        <f>IF(B6=0,0,B15/B6)</f>
      </c>
      <c r="AD16">
        <v>12000000</v>
      </c>
      <c r="AE16">
        <v>120000</v>
      </c>
    </row>
    <row r="17" ht="32" customHeight="1" spans="1:31" x14ac:dyDescent="0.25">
      <c r="A17" s="31">
        <f>IF(B16&gt;=0.5,"⚠ 財務健康狀態｜破產預警：先降月付或提高收入",IF(B16&gt;=0.35,"⚠ 財務健康狀態｜壓力偏高：月付偏緊，建議調整貸款條件","✓ 財務健康狀態｜安全區：現金流尚可"))</f>
      </c>
      <c r="B17" s="31"/>
      <c r="C17" s="31"/>
      <c r="D17" s="31"/>
      <c r="E17" s="31"/>
      <c r="F17" s="31"/>
      <c r="G17" s="31"/>
      <c r="H17" s="31"/>
      <c r="I17" s="31"/>
      <c r="AD17">
        <v>12500000</v>
      </c>
      <c r="AE17">
        <v>125000</v>
      </c>
    </row>
    <row r="18" ht="26" customHeight="1" spans="1:31" x14ac:dyDescent="0.25">
      <c r="A18" s="32" t="s">
        <v>44</v>
      </c>
      <c r="B18" s="32"/>
      <c r="C18" s="32"/>
      <c r="D18" s="32"/>
      <c r="E18" s="32"/>
      <c r="F18" s="32"/>
      <c r="G18" s="32"/>
      <c r="H18" s="32"/>
      <c r="I18" s="32"/>
      <c r="AD18">
        <v>13000000</v>
      </c>
      <c r="AE18">
        <v>130000</v>
      </c>
    </row>
    <row r="19" spans="30:31" x14ac:dyDescent="0.25">
      <c r="AD19">
        <v>13500000</v>
      </c>
      <c r="AE19">
        <v>135000</v>
      </c>
    </row>
    <row r="20" spans="30:31" x14ac:dyDescent="0.25">
      <c r="AD20">
        <v>14000000</v>
      </c>
      <c r="AE20">
        <v>140000</v>
      </c>
    </row>
    <row r="21" spans="30:31" x14ac:dyDescent="0.25">
      <c r="AD21">
        <v>14500000</v>
      </c>
      <c r="AE21">
        <v>145000</v>
      </c>
    </row>
    <row r="22" spans="30:31" x14ac:dyDescent="0.25">
      <c r="AD22">
        <v>15000000</v>
      </c>
      <c r="AE22">
        <v>150000</v>
      </c>
    </row>
    <row r="23" spans="30:31" x14ac:dyDescent="0.25">
      <c r="AD23">
        <v>15500000</v>
      </c>
      <c r="AE23">
        <v>155000</v>
      </c>
    </row>
    <row r="24" spans="30:31" x14ac:dyDescent="0.25">
      <c r="AD24">
        <v>16000000</v>
      </c>
      <c r="AE24">
        <v>160000</v>
      </c>
    </row>
    <row r="25" spans="30:31" x14ac:dyDescent="0.25">
      <c r="AD25">
        <v>16500000</v>
      </c>
      <c r="AE25">
        <v>165000</v>
      </c>
    </row>
    <row r="26" spans="30:31" x14ac:dyDescent="0.25">
      <c r="AD26">
        <v>17000000</v>
      </c>
      <c r="AE26">
        <v>170000</v>
      </c>
    </row>
    <row r="27" spans="30:31" x14ac:dyDescent="0.25">
      <c r="AD27">
        <v>17500000</v>
      </c>
      <c r="AE27">
        <v>175000</v>
      </c>
    </row>
    <row r="28" spans="30:31" x14ac:dyDescent="0.25">
      <c r="AD28">
        <v>18000000</v>
      </c>
      <c r="AE28">
        <v>180000</v>
      </c>
    </row>
    <row r="29" spans="30:31" x14ac:dyDescent="0.25">
      <c r="AD29">
        <v>18500000</v>
      </c>
      <c r="AE29">
        <v>185000</v>
      </c>
    </row>
    <row r="30" spans="30:31" x14ac:dyDescent="0.25">
      <c r="AD30">
        <v>19000000</v>
      </c>
      <c r="AE30">
        <v>190000</v>
      </c>
    </row>
    <row r="31" spans="30:31" x14ac:dyDescent="0.25">
      <c r="AD31">
        <v>19500000</v>
      </c>
      <c r="AE31">
        <v>195000</v>
      </c>
    </row>
    <row r="32" spans="30:31" x14ac:dyDescent="0.25">
      <c r="AD32">
        <v>20000000</v>
      </c>
      <c r="AE32">
        <v>200000</v>
      </c>
    </row>
    <row r="33" spans="30:31" x14ac:dyDescent="0.25">
      <c r="AD33">
        <v>20500000</v>
      </c>
      <c r="AE33">
        <v>205000</v>
      </c>
    </row>
    <row r="34" spans="30:31" x14ac:dyDescent="0.25">
      <c r="AD34">
        <v>21000000</v>
      </c>
      <c r="AE34">
        <v>210000</v>
      </c>
    </row>
    <row r="35" spans="30:31" x14ac:dyDescent="0.25">
      <c r="AD35">
        <v>21500000</v>
      </c>
      <c r="AE35">
        <v>215000</v>
      </c>
    </row>
    <row r="36" spans="30:31" x14ac:dyDescent="0.25">
      <c r="AD36">
        <v>22000000</v>
      </c>
      <c r="AE36">
        <v>220000</v>
      </c>
    </row>
    <row r="37" spans="30:31" x14ac:dyDescent="0.25">
      <c r="AD37">
        <v>22500000</v>
      </c>
      <c r="AE37">
        <v>225000</v>
      </c>
    </row>
    <row r="38" spans="30:31" x14ac:dyDescent="0.25">
      <c r="AD38">
        <v>23000000</v>
      </c>
      <c r="AE38">
        <v>230000</v>
      </c>
    </row>
    <row r="39" spans="30:31" x14ac:dyDescent="0.25">
      <c r="AD39">
        <v>23500000</v>
      </c>
      <c r="AE39">
        <v>235000</v>
      </c>
    </row>
    <row r="40" spans="30:31" x14ac:dyDescent="0.25">
      <c r="AD40">
        <v>24000000</v>
      </c>
      <c r="AE40">
        <v>240000</v>
      </c>
    </row>
    <row r="41" spans="30:31" x14ac:dyDescent="0.25">
      <c r="AD41">
        <v>24500000</v>
      </c>
      <c r="AE41">
        <v>245000</v>
      </c>
    </row>
    <row r="42" spans="30:31" x14ac:dyDescent="0.25">
      <c r="AD42">
        <v>25000000</v>
      </c>
      <c r="AE42">
        <v>250000</v>
      </c>
    </row>
  </sheetData>
  <mergeCells count="9">
    <mergeCell ref="A1:I1"/>
    <mergeCell ref="A2:I2"/>
    <mergeCell ref="E3:F3"/>
    <mergeCell ref="A4:F4"/>
    <mergeCell ref="H4:I4"/>
    <mergeCell ref="A11:F11"/>
    <mergeCell ref="H11:I11"/>
    <mergeCell ref="A17:I17"/>
    <mergeCell ref="A18:I18"/>
  </mergeCells>
  <conditionalFormatting sqref="B16">
    <cfRule type="expression" dxfId="0" priority="1">
      <formula>B16&gt;=0.5</formula>
    </cfRule>
    <cfRule type="expression" dxfId="1" priority="2">
      <formula>AND(B16&gt;=0.35,B16&lt;0.5)</formula>
    </cfRule>
  </conditionalFormatting>
  <conditionalFormatting sqref="A17:I17">
    <cfRule type="expression" dxfId="2" priority="1">
      <formula>$B$16&gt;=0.5</formula>
    </cfRule>
    <cfRule type="expression" dxfId="3" priority="2">
      <formula>AND($B$16&gt;=0.35,$B$16&lt;0.5)</formula>
    </cfRule>
    <cfRule type="expression" dxfId="4" priority="3">
      <formula>$B$16&lt;0.35</formula>
    </cfRule>
  </conditionalFormatting>
  <dataValidations count="4">
    <dataValidation type="list" showErrorMessage="1" errorStyle="warning" errorTitle="請由清單選擇" error="請點儲存格右側 ▾ 下拉選單，或按 C/D ± 微調。" sqref="B6">
      <formula1>$AD$2:$AD$42</formula1>
    </dataValidation>
    <dataValidation type="list" showErrorMessage="1" errorStyle="warning" errorTitle="請由清單選擇" error="請點儲存格右側 ▾ 下拉選單，或按 C/D ± 微調。" sqref="B7">
      <formula1>"1.0,1.2,1.5,1.8,2.0,2.2,2.5,2.8,3.0,3.5,4.0,5.0"</formula1>
    </dataValidation>
    <dataValidation type="list" showErrorMessage="1" errorStyle="warning" errorTitle="請由清單選擇" error="請點儲存格右側 ▾ 下拉選單，或按 C/D ± 微調。" sqref="B8">
      <formula1>"5,10,15,20,25,30,35,40,45,50"</formula1>
    </dataValidation>
    <dataValidation type="list" showErrorMessage="1" errorStyle="warning" errorTitle="請由清單選擇" error="請點儲存格右側 ▾ 下拉選單，或按 C/D ± 微調。" sqref="B9">
      <formula1>$AE$2:$AE$42</formula1>
    </dataValidation>
  </dataValidations>
  <hyperlinks>
    <hyperlink ref="A13" r:id="rId1" tooltip="開啟「本息均攤」每期繳款明細" location="#'本息均攤'!A1"/>
    <hyperlink ref="A14" r:id="rId2" tooltip="開啟「本金平均」每期繳款明細" location="#'本金平均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G603"/>
  <sheetViews>
    <sheetView workbookViewId="0" zoomScale="100"/>
  </sheetViews>
  <sheetFormatPr defaultRowHeight="22" outlineLevelRow="0" outlineLevelCol="0" x14ac:dyDescent="55" customHeight="1"/>
  <cols>
    <col min="1" max="1" width="13" customWidth="1"/>
    <col min="2" max="5" width="14" customWidth="1"/>
    <col min="6" max="6" width="2" customWidth="1"/>
    <col min="7" max="7" width="12" hidden="1" customWidth="1"/>
  </cols>
  <sheetData>
    <row r="1" ht="28" customHeight="1" spans="1:7" x14ac:dyDescent="0.25">
      <c r="A1" s="33" t="s">
        <v>45</v>
      </c>
      <c r="B1" s="34" t="s">
        <v>46</v>
      </c>
      <c r="C1" s="34"/>
      <c r="D1" s="34"/>
      <c r="E1" s="34"/>
      <c r="G1" t="s">
        <v>47</v>
      </c>
    </row>
    <row r="2" ht="36" customHeight="1" spans="1:5" x14ac:dyDescent="0.25">
      <c r="A2" s="35" t="s">
        <v>48</v>
      </c>
      <c r="B2" s="35"/>
      <c r="C2" s="35"/>
      <c r="D2" s="35"/>
      <c r="E2" s="35"/>
    </row>
    <row r="3" ht="26" customHeight="1" spans="1:5" x14ac:dyDescent="0.25">
      <c r="A3" s="9" t="s">
        <v>49</v>
      </c>
      <c r="B3" s="10" t="s">
        <v>50</v>
      </c>
      <c r="C3" s="10" t="s">
        <v>51</v>
      </c>
      <c r="D3" s="10" t="s">
        <v>52</v>
      </c>
      <c r="E3" s="10" t="s">
        <v>53</v>
      </c>
    </row>
    <row r="4" ht="22" customHeight="1" spans="1:7" x14ac:dyDescent="0.25">
      <c r="A4" s="36">
        <f>IF((ROW()-3)&lt;=('首頁'!$B$8*12),ROW()-3,"")</f>
      </c>
      <c r="B4" s="37">
        <f>IF((ROW()-3)&lt;=('首頁'!$B$8*12),C4+D4,"")</f>
      </c>
      <c r="C4" s="38">
        <f>IF((ROW()-3)&lt;=('首頁'!$B$8*12),G4*'首頁'!$B$7/12/100,"")</f>
      </c>
      <c r="D4" s="38">
        <f>IF((ROW()-3)&lt;=('首頁'!$B$8*12),IF(ROW()-3=('首頁'!$B$8*12),G4,MIN(G4,'首頁'!$B$13-C4)),"")</f>
      </c>
      <c r="E4" s="38">
        <f>IF((ROW()-3)&lt;=('首頁'!$B$8*12),G4-D4,"")</f>
      </c>
      <c r="G4" s="39">
        <f>IF((ROW()-3)&lt;=('首頁'!$B$8*12),'首頁'!$B$6,"")</f>
      </c>
    </row>
    <row r="5" ht="22" customHeight="1" spans="1:7" x14ac:dyDescent="0.25">
      <c r="A5" s="40">
        <f>IF((ROW()-3)&lt;=('首頁'!$B$8*12),ROW()-3,"")</f>
      </c>
      <c r="B5" s="41">
        <f>IF((ROW()-3)&lt;=('首頁'!$B$8*12),C5+D5,"")</f>
      </c>
      <c r="C5" s="42">
        <f>IF((ROW()-3)&lt;=('首頁'!$B$8*12),G5*'首頁'!$B$7/12/100,"")</f>
      </c>
      <c r="D5" s="42">
        <f>IF((ROW()-3)&lt;=('首頁'!$B$8*12),IF(ROW()-3=('首頁'!$B$8*12),G5,MIN(G5,'首頁'!$B$13-C5)),"")</f>
      </c>
      <c r="E5" s="42">
        <f>IF((ROW()-3)&lt;=('首頁'!$B$8*12),G5-D5,"")</f>
      </c>
      <c r="G5" s="39">
        <f>IF((ROW()-3)&lt;=('首頁'!$B$8*12),E4,"")</f>
      </c>
    </row>
    <row r="6" ht="22" customHeight="1" spans="1:7" x14ac:dyDescent="0.25">
      <c r="A6" s="36">
        <f>IF((ROW()-3)&lt;=('首頁'!$B$8*12),ROW()-3,"")</f>
      </c>
      <c r="B6" s="37">
        <f>IF((ROW()-3)&lt;=('首頁'!$B$8*12),C6+D6,"")</f>
      </c>
      <c r="C6" s="38">
        <f>IF((ROW()-3)&lt;=('首頁'!$B$8*12),G6*'首頁'!$B$7/12/100,"")</f>
      </c>
      <c r="D6" s="38">
        <f>IF((ROW()-3)&lt;=('首頁'!$B$8*12),IF(ROW()-3=('首頁'!$B$8*12),G6,MIN(G6,'首頁'!$B$13-C6)),"")</f>
      </c>
      <c r="E6" s="38">
        <f>IF((ROW()-3)&lt;=('首頁'!$B$8*12),G6-D6,"")</f>
      </c>
      <c r="G6" s="39">
        <f>IF((ROW()-3)&lt;=('首頁'!$B$8*12),E5,"")</f>
      </c>
    </row>
    <row r="7" ht="22" customHeight="1" spans="1:7" x14ac:dyDescent="0.25">
      <c r="A7" s="40">
        <f>IF((ROW()-3)&lt;=('首頁'!$B$8*12),ROW()-3,"")</f>
      </c>
      <c r="B7" s="41">
        <f>IF((ROW()-3)&lt;=('首頁'!$B$8*12),C7+D7,"")</f>
      </c>
      <c r="C7" s="42">
        <f>IF((ROW()-3)&lt;=('首頁'!$B$8*12),G7*'首頁'!$B$7/12/100,"")</f>
      </c>
      <c r="D7" s="42">
        <f>IF((ROW()-3)&lt;=('首頁'!$B$8*12),IF(ROW()-3=('首頁'!$B$8*12),G7,MIN(G7,'首頁'!$B$13-C7)),"")</f>
      </c>
      <c r="E7" s="42">
        <f>IF((ROW()-3)&lt;=('首頁'!$B$8*12),G7-D7,"")</f>
      </c>
      <c r="G7" s="39">
        <f>IF((ROW()-3)&lt;=('首頁'!$B$8*12),E6,"")</f>
      </c>
    </row>
    <row r="8" ht="22" customHeight="1" spans="1:7" x14ac:dyDescent="0.25">
      <c r="A8" s="36">
        <f>IF((ROW()-3)&lt;=('首頁'!$B$8*12),ROW()-3,"")</f>
      </c>
      <c r="B8" s="37">
        <f>IF((ROW()-3)&lt;=('首頁'!$B$8*12),C8+D8,"")</f>
      </c>
      <c r="C8" s="38">
        <f>IF((ROW()-3)&lt;=('首頁'!$B$8*12),G8*'首頁'!$B$7/12/100,"")</f>
      </c>
      <c r="D8" s="38">
        <f>IF((ROW()-3)&lt;=('首頁'!$B$8*12),IF(ROW()-3=('首頁'!$B$8*12),G8,MIN(G8,'首頁'!$B$13-C8)),"")</f>
      </c>
      <c r="E8" s="38">
        <f>IF((ROW()-3)&lt;=('首頁'!$B$8*12),G8-D8,"")</f>
      </c>
      <c r="G8" s="39">
        <f>IF((ROW()-3)&lt;=('首頁'!$B$8*12),E7,"")</f>
      </c>
    </row>
    <row r="9" ht="22" customHeight="1" spans="1:7" x14ac:dyDescent="0.25">
      <c r="A9" s="40">
        <f>IF((ROW()-3)&lt;=('首頁'!$B$8*12),ROW()-3,"")</f>
      </c>
      <c r="B9" s="41">
        <f>IF((ROW()-3)&lt;=('首頁'!$B$8*12),C9+D9,"")</f>
      </c>
      <c r="C9" s="42">
        <f>IF((ROW()-3)&lt;=('首頁'!$B$8*12),G9*'首頁'!$B$7/12/100,"")</f>
      </c>
      <c r="D9" s="42">
        <f>IF((ROW()-3)&lt;=('首頁'!$B$8*12),IF(ROW()-3=('首頁'!$B$8*12),G9,MIN(G9,'首頁'!$B$13-C9)),"")</f>
      </c>
      <c r="E9" s="42">
        <f>IF((ROW()-3)&lt;=('首頁'!$B$8*12),G9-D9,"")</f>
      </c>
      <c r="G9" s="39">
        <f>IF((ROW()-3)&lt;=('首頁'!$B$8*12),E8,"")</f>
      </c>
    </row>
    <row r="10" ht="22" customHeight="1" spans="1:7" x14ac:dyDescent="0.25">
      <c r="A10" s="36">
        <f>IF((ROW()-3)&lt;=('首頁'!$B$8*12),ROW()-3,"")</f>
      </c>
      <c r="B10" s="37">
        <f>IF((ROW()-3)&lt;=('首頁'!$B$8*12),C10+D10,"")</f>
      </c>
      <c r="C10" s="38">
        <f>IF((ROW()-3)&lt;=('首頁'!$B$8*12),G10*'首頁'!$B$7/12/100,"")</f>
      </c>
      <c r="D10" s="38">
        <f>IF((ROW()-3)&lt;=('首頁'!$B$8*12),IF(ROW()-3=('首頁'!$B$8*12),G10,MIN(G10,'首頁'!$B$13-C10)),"")</f>
      </c>
      <c r="E10" s="38">
        <f>IF((ROW()-3)&lt;=('首頁'!$B$8*12),G10-D10,"")</f>
      </c>
      <c r="G10" s="39">
        <f>IF((ROW()-3)&lt;=('首頁'!$B$8*12),E9,"")</f>
      </c>
    </row>
    <row r="11" ht="22" customHeight="1" spans="1:7" x14ac:dyDescent="0.25">
      <c r="A11" s="40">
        <f>IF((ROW()-3)&lt;=('首頁'!$B$8*12),ROW()-3,"")</f>
      </c>
      <c r="B11" s="41">
        <f>IF((ROW()-3)&lt;=('首頁'!$B$8*12),C11+D11,"")</f>
      </c>
      <c r="C11" s="42">
        <f>IF((ROW()-3)&lt;=('首頁'!$B$8*12),G11*'首頁'!$B$7/12/100,"")</f>
      </c>
      <c r="D11" s="42">
        <f>IF((ROW()-3)&lt;=('首頁'!$B$8*12),IF(ROW()-3=('首頁'!$B$8*12),G11,MIN(G11,'首頁'!$B$13-C11)),"")</f>
      </c>
      <c r="E11" s="42">
        <f>IF((ROW()-3)&lt;=('首頁'!$B$8*12),G11-D11,"")</f>
      </c>
      <c r="G11" s="39">
        <f>IF((ROW()-3)&lt;=('首頁'!$B$8*12),E10,"")</f>
      </c>
    </row>
    <row r="12" ht="22" customHeight="1" spans="1:7" x14ac:dyDescent="0.25">
      <c r="A12" s="36">
        <f>IF((ROW()-3)&lt;=('首頁'!$B$8*12),ROW()-3,"")</f>
      </c>
      <c r="B12" s="37">
        <f>IF((ROW()-3)&lt;=('首頁'!$B$8*12),C12+D12,"")</f>
      </c>
      <c r="C12" s="38">
        <f>IF((ROW()-3)&lt;=('首頁'!$B$8*12),G12*'首頁'!$B$7/12/100,"")</f>
      </c>
      <c r="D12" s="38">
        <f>IF((ROW()-3)&lt;=('首頁'!$B$8*12),IF(ROW()-3=('首頁'!$B$8*12),G12,MIN(G12,'首頁'!$B$13-C12)),"")</f>
      </c>
      <c r="E12" s="38">
        <f>IF((ROW()-3)&lt;=('首頁'!$B$8*12),G12-D12,"")</f>
      </c>
      <c r="G12" s="39">
        <f>IF((ROW()-3)&lt;=('首頁'!$B$8*12),E11,"")</f>
      </c>
    </row>
    <row r="13" ht="22" customHeight="1" spans="1:7" x14ac:dyDescent="0.25">
      <c r="A13" s="40">
        <f>IF((ROW()-3)&lt;=('首頁'!$B$8*12),ROW()-3,"")</f>
      </c>
      <c r="B13" s="41">
        <f>IF((ROW()-3)&lt;=('首頁'!$B$8*12),C13+D13,"")</f>
      </c>
      <c r="C13" s="42">
        <f>IF((ROW()-3)&lt;=('首頁'!$B$8*12),G13*'首頁'!$B$7/12/100,"")</f>
      </c>
      <c r="D13" s="42">
        <f>IF((ROW()-3)&lt;=('首頁'!$B$8*12),IF(ROW()-3=('首頁'!$B$8*12),G13,MIN(G13,'首頁'!$B$13-C13)),"")</f>
      </c>
      <c r="E13" s="42">
        <f>IF((ROW()-3)&lt;=('首頁'!$B$8*12),G13-D13,"")</f>
      </c>
      <c r="G13" s="39">
        <f>IF((ROW()-3)&lt;=('首頁'!$B$8*12),E12,"")</f>
      </c>
    </row>
    <row r="14" ht="22" customHeight="1" spans="1:7" x14ac:dyDescent="0.25">
      <c r="A14" s="36">
        <f>IF((ROW()-3)&lt;=('首頁'!$B$8*12),ROW()-3,"")</f>
      </c>
      <c r="B14" s="37">
        <f>IF((ROW()-3)&lt;=('首頁'!$B$8*12),C14+D14,"")</f>
      </c>
      <c r="C14" s="38">
        <f>IF((ROW()-3)&lt;=('首頁'!$B$8*12),G14*'首頁'!$B$7/12/100,"")</f>
      </c>
      <c r="D14" s="38">
        <f>IF((ROW()-3)&lt;=('首頁'!$B$8*12),IF(ROW()-3=('首頁'!$B$8*12),G14,MIN(G14,'首頁'!$B$13-C14)),"")</f>
      </c>
      <c r="E14" s="38">
        <f>IF((ROW()-3)&lt;=('首頁'!$B$8*12),G14-D14,"")</f>
      </c>
      <c r="G14" s="39">
        <f>IF((ROW()-3)&lt;=('首頁'!$B$8*12),E13,"")</f>
      </c>
    </row>
    <row r="15" ht="22" customHeight="1" spans="1:7" x14ac:dyDescent="0.25">
      <c r="A15" s="40">
        <f>IF((ROW()-3)&lt;=('首頁'!$B$8*12),ROW()-3,"")</f>
      </c>
      <c r="B15" s="41">
        <f>IF((ROW()-3)&lt;=('首頁'!$B$8*12),C15+D15,"")</f>
      </c>
      <c r="C15" s="42">
        <f>IF((ROW()-3)&lt;=('首頁'!$B$8*12),G15*'首頁'!$B$7/12/100,"")</f>
      </c>
      <c r="D15" s="42">
        <f>IF((ROW()-3)&lt;=('首頁'!$B$8*12),IF(ROW()-3=('首頁'!$B$8*12),G15,MIN(G15,'首頁'!$B$13-C15)),"")</f>
      </c>
      <c r="E15" s="42">
        <f>IF((ROW()-3)&lt;=('首頁'!$B$8*12),G15-D15,"")</f>
      </c>
      <c r="G15" s="39">
        <f>IF((ROW()-3)&lt;=('首頁'!$B$8*12),E14,"")</f>
      </c>
    </row>
    <row r="16" ht="22" customHeight="1" spans="1:7" x14ac:dyDescent="0.25">
      <c r="A16" s="36">
        <f>IF((ROW()-3)&lt;=('首頁'!$B$8*12),ROW()-3,"")</f>
      </c>
      <c r="B16" s="37">
        <f>IF((ROW()-3)&lt;=('首頁'!$B$8*12),C16+D16,"")</f>
      </c>
      <c r="C16" s="38">
        <f>IF((ROW()-3)&lt;=('首頁'!$B$8*12),G16*'首頁'!$B$7/12/100,"")</f>
      </c>
      <c r="D16" s="38">
        <f>IF((ROW()-3)&lt;=('首頁'!$B$8*12),IF(ROW()-3=('首頁'!$B$8*12),G16,MIN(G16,'首頁'!$B$13-C16)),"")</f>
      </c>
      <c r="E16" s="38">
        <f>IF((ROW()-3)&lt;=('首頁'!$B$8*12),G16-D16,"")</f>
      </c>
      <c r="G16" s="39">
        <f>IF((ROW()-3)&lt;=('首頁'!$B$8*12),E15,"")</f>
      </c>
    </row>
    <row r="17" ht="22" customHeight="1" spans="1:7" x14ac:dyDescent="0.25">
      <c r="A17" s="40">
        <f>IF((ROW()-3)&lt;=('首頁'!$B$8*12),ROW()-3,"")</f>
      </c>
      <c r="B17" s="41">
        <f>IF((ROW()-3)&lt;=('首頁'!$B$8*12),C17+D17,"")</f>
      </c>
      <c r="C17" s="42">
        <f>IF((ROW()-3)&lt;=('首頁'!$B$8*12),G17*'首頁'!$B$7/12/100,"")</f>
      </c>
      <c r="D17" s="42">
        <f>IF((ROW()-3)&lt;=('首頁'!$B$8*12),IF(ROW()-3=('首頁'!$B$8*12),G17,MIN(G17,'首頁'!$B$13-C17)),"")</f>
      </c>
      <c r="E17" s="42">
        <f>IF((ROW()-3)&lt;=('首頁'!$B$8*12),G17-D17,"")</f>
      </c>
      <c r="G17" s="39">
        <f>IF((ROW()-3)&lt;=('首頁'!$B$8*12),E16,"")</f>
      </c>
    </row>
    <row r="18" ht="22" customHeight="1" spans="1:7" x14ac:dyDescent="0.25">
      <c r="A18" s="36">
        <f>IF((ROW()-3)&lt;=('首頁'!$B$8*12),ROW()-3,"")</f>
      </c>
      <c r="B18" s="37">
        <f>IF((ROW()-3)&lt;=('首頁'!$B$8*12),C18+D18,"")</f>
      </c>
      <c r="C18" s="38">
        <f>IF((ROW()-3)&lt;=('首頁'!$B$8*12),G18*'首頁'!$B$7/12/100,"")</f>
      </c>
      <c r="D18" s="38">
        <f>IF((ROW()-3)&lt;=('首頁'!$B$8*12),IF(ROW()-3=('首頁'!$B$8*12),G18,MIN(G18,'首頁'!$B$13-C18)),"")</f>
      </c>
      <c r="E18" s="38">
        <f>IF((ROW()-3)&lt;=('首頁'!$B$8*12),G18-D18,"")</f>
      </c>
      <c r="G18" s="39">
        <f>IF((ROW()-3)&lt;=('首頁'!$B$8*12),E17,"")</f>
      </c>
    </row>
    <row r="19" ht="22" customHeight="1" spans="1:7" x14ac:dyDescent="0.25">
      <c r="A19" s="40">
        <f>IF((ROW()-3)&lt;=('首頁'!$B$8*12),ROW()-3,"")</f>
      </c>
      <c r="B19" s="41">
        <f>IF((ROW()-3)&lt;=('首頁'!$B$8*12),C19+D19,"")</f>
      </c>
      <c r="C19" s="42">
        <f>IF((ROW()-3)&lt;=('首頁'!$B$8*12),G19*'首頁'!$B$7/12/100,"")</f>
      </c>
      <c r="D19" s="42">
        <f>IF((ROW()-3)&lt;=('首頁'!$B$8*12),IF(ROW()-3=('首頁'!$B$8*12),G19,MIN(G19,'首頁'!$B$13-C19)),"")</f>
      </c>
      <c r="E19" s="42">
        <f>IF((ROW()-3)&lt;=('首頁'!$B$8*12),G19-D19,"")</f>
      </c>
      <c r="G19" s="39">
        <f>IF((ROW()-3)&lt;=('首頁'!$B$8*12),E18,"")</f>
      </c>
    </row>
    <row r="20" ht="22" customHeight="1" spans="1:7" x14ac:dyDescent="0.25">
      <c r="A20" s="36">
        <f>IF((ROW()-3)&lt;=('首頁'!$B$8*12),ROW()-3,"")</f>
      </c>
      <c r="B20" s="37">
        <f>IF((ROW()-3)&lt;=('首頁'!$B$8*12),C20+D20,"")</f>
      </c>
      <c r="C20" s="38">
        <f>IF((ROW()-3)&lt;=('首頁'!$B$8*12),G20*'首頁'!$B$7/12/100,"")</f>
      </c>
      <c r="D20" s="38">
        <f>IF((ROW()-3)&lt;=('首頁'!$B$8*12),IF(ROW()-3=('首頁'!$B$8*12),G20,MIN(G20,'首頁'!$B$13-C20)),"")</f>
      </c>
      <c r="E20" s="38">
        <f>IF((ROW()-3)&lt;=('首頁'!$B$8*12),G20-D20,"")</f>
      </c>
      <c r="G20" s="39">
        <f>IF((ROW()-3)&lt;=('首頁'!$B$8*12),E19,"")</f>
      </c>
    </row>
    <row r="21" ht="22" customHeight="1" spans="1:7" x14ac:dyDescent="0.25">
      <c r="A21" s="40">
        <f>IF((ROW()-3)&lt;=('首頁'!$B$8*12),ROW()-3,"")</f>
      </c>
      <c r="B21" s="41">
        <f>IF((ROW()-3)&lt;=('首頁'!$B$8*12),C21+D21,"")</f>
      </c>
      <c r="C21" s="42">
        <f>IF((ROW()-3)&lt;=('首頁'!$B$8*12),G21*'首頁'!$B$7/12/100,"")</f>
      </c>
      <c r="D21" s="42">
        <f>IF((ROW()-3)&lt;=('首頁'!$B$8*12),IF(ROW()-3=('首頁'!$B$8*12),G21,MIN(G21,'首頁'!$B$13-C21)),"")</f>
      </c>
      <c r="E21" s="42">
        <f>IF((ROW()-3)&lt;=('首頁'!$B$8*12),G21-D21,"")</f>
      </c>
      <c r="G21" s="39">
        <f>IF((ROW()-3)&lt;=('首頁'!$B$8*12),E20,"")</f>
      </c>
    </row>
    <row r="22" ht="22" customHeight="1" spans="1:7" x14ac:dyDescent="0.25">
      <c r="A22" s="36">
        <f>IF((ROW()-3)&lt;=('首頁'!$B$8*12),ROW()-3,"")</f>
      </c>
      <c r="B22" s="37">
        <f>IF((ROW()-3)&lt;=('首頁'!$B$8*12),C22+D22,"")</f>
      </c>
      <c r="C22" s="38">
        <f>IF((ROW()-3)&lt;=('首頁'!$B$8*12),G22*'首頁'!$B$7/12/100,"")</f>
      </c>
      <c r="D22" s="38">
        <f>IF((ROW()-3)&lt;=('首頁'!$B$8*12),IF(ROW()-3=('首頁'!$B$8*12),G22,MIN(G22,'首頁'!$B$13-C22)),"")</f>
      </c>
      <c r="E22" s="38">
        <f>IF((ROW()-3)&lt;=('首頁'!$B$8*12),G22-D22,"")</f>
      </c>
      <c r="G22" s="39">
        <f>IF((ROW()-3)&lt;=('首頁'!$B$8*12),E21,"")</f>
      </c>
    </row>
    <row r="23" ht="22" customHeight="1" spans="1:7" x14ac:dyDescent="0.25">
      <c r="A23" s="40">
        <f>IF((ROW()-3)&lt;=('首頁'!$B$8*12),ROW()-3,"")</f>
      </c>
      <c r="B23" s="41">
        <f>IF((ROW()-3)&lt;=('首頁'!$B$8*12),C23+D23,"")</f>
      </c>
      <c r="C23" s="42">
        <f>IF((ROW()-3)&lt;=('首頁'!$B$8*12),G23*'首頁'!$B$7/12/100,"")</f>
      </c>
      <c r="D23" s="42">
        <f>IF((ROW()-3)&lt;=('首頁'!$B$8*12),IF(ROW()-3=('首頁'!$B$8*12),G23,MIN(G23,'首頁'!$B$13-C23)),"")</f>
      </c>
      <c r="E23" s="42">
        <f>IF((ROW()-3)&lt;=('首頁'!$B$8*12),G23-D23,"")</f>
      </c>
      <c r="G23" s="39">
        <f>IF((ROW()-3)&lt;=('首頁'!$B$8*12),E22,"")</f>
      </c>
    </row>
    <row r="24" ht="22" customHeight="1" spans="1:7" x14ac:dyDescent="0.25">
      <c r="A24" s="36">
        <f>IF((ROW()-3)&lt;=('首頁'!$B$8*12),ROW()-3,"")</f>
      </c>
      <c r="B24" s="37">
        <f>IF((ROW()-3)&lt;=('首頁'!$B$8*12),C24+D24,"")</f>
      </c>
      <c r="C24" s="38">
        <f>IF((ROW()-3)&lt;=('首頁'!$B$8*12),G24*'首頁'!$B$7/12/100,"")</f>
      </c>
      <c r="D24" s="38">
        <f>IF((ROW()-3)&lt;=('首頁'!$B$8*12),IF(ROW()-3=('首頁'!$B$8*12),G24,MIN(G24,'首頁'!$B$13-C24)),"")</f>
      </c>
      <c r="E24" s="38">
        <f>IF((ROW()-3)&lt;=('首頁'!$B$8*12),G24-D24,"")</f>
      </c>
      <c r="G24" s="39">
        <f>IF((ROW()-3)&lt;=('首頁'!$B$8*12),E23,"")</f>
      </c>
    </row>
    <row r="25" ht="22" customHeight="1" spans="1:7" x14ac:dyDescent="0.25">
      <c r="A25" s="40">
        <f>IF((ROW()-3)&lt;=('首頁'!$B$8*12),ROW()-3,"")</f>
      </c>
      <c r="B25" s="41">
        <f>IF((ROW()-3)&lt;=('首頁'!$B$8*12),C25+D25,"")</f>
      </c>
      <c r="C25" s="42">
        <f>IF((ROW()-3)&lt;=('首頁'!$B$8*12),G25*'首頁'!$B$7/12/100,"")</f>
      </c>
      <c r="D25" s="42">
        <f>IF((ROW()-3)&lt;=('首頁'!$B$8*12),IF(ROW()-3=('首頁'!$B$8*12),G25,MIN(G25,'首頁'!$B$13-C25)),"")</f>
      </c>
      <c r="E25" s="42">
        <f>IF((ROW()-3)&lt;=('首頁'!$B$8*12),G25-D25,"")</f>
      </c>
      <c r="G25" s="39">
        <f>IF((ROW()-3)&lt;=('首頁'!$B$8*12),E24,"")</f>
      </c>
    </row>
    <row r="26" ht="22" customHeight="1" spans="1:7" x14ac:dyDescent="0.25">
      <c r="A26" s="36">
        <f>IF((ROW()-3)&lt;=('首頁'!$B$8*12),ROW()-3,"")</f>
      </c>
      <c r="B26" s="37">
        <f>IF((ROW()-3)&lt;=('首頁'!$B$8*12),C26+D26,"")</f>
      </c>
      <c r="C26" s="38">
        <f>IF((ROW()-3)&lt;=('首頁'!$B$8*12),G26*'首頁'!$B$7/12/100,"")</f>
      </c>
      <c r="D26" s="38">
        <f>IF((ROW()-3)&lt;=('首頁'!$B$8*12),IF(ROW()-3=('首頁'!$B$8*12),G26,MIN(G26,'首頁'!$B$13-C26)),"")</f>
      </c>
      <c r="E26" s="38">
        <f>IF((ROW()-3)&lt;=('首頁'!$B$8*12),G26-D26,"")</f>
      </c>
      <c r="G26" s="39">
        <f>IF((ROW()-3)&lt;=('首頁'!$B$8*12),E25,"")</f>
      </c>
    </row>
    <row r="27" ht="22" customHeight="1" spans="1:7" x14ac:dyDescent="0.25">
      <c r="A27" s="40">
        <f>IF((ROW()-3)&lt;=('首頁'!$B$8*12),ROW()-3,"")</f>
      </c>
      <c r="B27" s="41">
        <f>IF((ROW()-3)&lt;=('首頁'!$B$8*12),C27+D27,"")</f>
      </c>
      <c r="C27" s="42">
        <f>IF((ROW()-3)&lt;=('首頁'!$B$8*12),G27*'首頁'!$B$7/12/100,"")</f>
      </c>
      <c r="D27" s="42">
        <f>IF((ROW()-3)&lt;=('首頁'!$B$8*12),IF(ROW()-3=('首頁'!$B$8*12),G27,MIN(G27,'首頁'!$B$13-C27)),"")</f>
      </c>
      <c r="E27" s="42">
        <f>IF((ROW()-3)&lt;=('首頁'!$B$8*12),G27-D27,"")</f>
      </c>
      <c r="G27" s="39">
        <f>IF((ROW()-3)&lt;=('首頁'!$B$8*12),E26,"")</f>
      </c>
    </row>
    <row r="28" ht="22" customHeight="1" spans="1:7" x14ac:dyDescent="0.25">
      <c r="A28" s="36">
        <f>IF((ROW()-3)&lt;=('首頁'!$B$8*12),ROW()-3,"")</f>
      </c>
      <c r="B28" s="37">
        <f>IF((ROW()-3)&lt;=('首頁'!$B$8*12),C28+D28,"")</f>
      </c>
      <c r="C28" s="38">
        <f>IF((ROW()-3)&lt;=('首頁'!$B$8*12),G28*'首頁'!$B$7/12/100,"")</f>
      </c>
      <c r="D28" s="38">
        <f>IF((ROW()-3)&lt;=('首頁'!$B$8*12),IF(ROW()-3=('首頁'!$B$8*12),G28,MIN(G28,'首頁'!$B$13-C28)),"")</f>
      </c>
      <c r="E28" s="38">
        <f>IF((ROW()-3)&lt;=('首頁'!$B$8*12),G28-D28,"")</f>
      </c>
      <c r="G28" s="39">
        <f>IF((ROW()-3)&lt;=('首頁'!$B$8*12),E27,"")</f>
      </c>
    </row>
    <row r="29" ht="22" customHeight="1" spans="1:7" x14ac:dyDescent="0.25">
      <c r="A29" s="40">
        <f>IF((ROW()-3)&lt;=('首頁'!$B$8*12),ROW()-3,"")</f>
      </c>
      <c r="B29" s="41">
        <f>IF((ROW()-3)&lt;=('首頁'!$B$8*12),C29+D29,"")</f>
      </c>
      <c r="C29" s="42">
        <f>IF((ROW()-3)&lt;=('首頁'!$B$8*12),G29*'首頁'!$B$7/12/100,"")</f>
      </c>
      <c r="D29" s="42">
        <f>IF((ROW()-3)&lt;=('首頁'!$B$8*12),IF(ROW()-3=('首頁'!$B$8*12),G29,MIN(G29,'首頁'!$B$13-C29)),"")</f>
      </c>
      <c r="E29" s="42">
        <f>IF((ROW()-3)&lt;=('首頁'!$B$8*12),G29-D29,"")</f>
      </c>
      <c r="G29" s="39">
        <f>IF((ROW()-3)&lt;=('首頁'!$B$8*12),E28,"")</f>
      </c>
    </row>
    <row r="30" ht="22" customHeight="1" spans="1:7" x14ac:dyDescent="0.25">
      <c r="A30" s="36">
        <f>IF((ROW()-3)&lt;=('首頁'!$B$8*12),ROW()-3,"")</f>
      </c>
      <c r="B30" s="37">
        <f>IF((ROW()-3)&lt;=('首頁'!$B$8*12),C30+D30,"")</f>
      </c>
      <c r="C30" s="38">
        <f>IF((ROW()-3)&lt;=('首頁'!$B$8*12),G30*'首頁'!$B$7/12/100,"")</f>
      </c>
      <c r="D30" s="38">
        <f>IF((ROW()-3)&lt;=('首頁'!$B$8*12),IF(ROW()-3=('首頁'!$B$8*12),G30,MIN(G30,'首頁'!$B$13-C30)),"")</f>
      </c>
      <c r="E30" s="38">
        <f>IF((ROW()-3)&lt;=('首頁'!$B$8*12),G30-D30,"")</f>
      </c>
      <c r="G30" s="39">
        <f>IF((ROW()-3)&lt;=('首頁'!$B$8*12),E29,"")</f>
      </c>
    </row>
    <row r="31" ht="22" customHeight="1" spans="1:7" x14ac:dyDescent="0.25">
      <c r="A31" s="40">
        <f>IF((ROW()-3)&lt;=('首頁'!$B$8*12),ROW()-3,"")</f>
      </c>
      <c r="B31" s="41">
        <f>IF((ROW()-3)&lt;=('首頁'!$B$8*12),C31+D31,"")</f>
      </c>
      <c r="C31" s="42">
        <f>IF((ROW()-3)&lt;=('首頁'!$B$8*12),G31*'首頁'!$B$7/12/100,"")</f>
      </c>
      <c r="D31" s="42">
        <f>IF((ROW()-3)&lt;=('首頁'!$B$8*12),IF(ROW()-3=('首頁'!$B$8*12),G31,MIN(G31,'首頁'!$B$13-C31)),"")</f>
      </c>
      <c r="E31" s="42">
        <f>IF((ROW()-3)&lt;=('首頁'!$B$8*12),G31-D31,"")</f>
      </c>
      <c r="G31" s="39">
        <f>IF((ROW()-3)&lt;=('首頁'!$B$8*12),E30,"")</f>
      </c>
    </row>
    <row r="32" ht="22" customHeight="1" spans="1:7" x14ac:dyDescent="0.25">
      <c r="A32" s="36">
        <f>IF((ROW()-3)&lt;=('首頁'!$B$8*12),ROW()-3,"")</f>
      </c>
      <c r="B32" s="37">
        <f>IF((ROW()-3)&lt;=('首頁'!$B$8*12),C32+D32,"")</f>
      </c>
      <c r="C32" s="38">
        <f>IF((ROW()-3)&lt;=('首頁'!$B$8*12),G32*'首頁'!$B$7/12/100,"")</f>
      </c>
      <c r="D32" s="38">
        <f>IF((ROW()-3)&lt;=('首頁'!$B$8*12),IF(ROW()-3=('首頁'!$B$8*12),G32,MIN(G32,'首頁'!$B$13-C32)),"")</f>
      </c>
      <c r="E32" s="38">
        <f>IF((ROW()-3)&lt;=('首頁'!$B$8*12),G32-D32,"")</f>
      </c>
      <c r="G32" s="39">
        <f>IF((ROW()-3)&lt;=('首頁'!$B$8*12),E31,"")</f>
      </c>
    </row>
    <row r="33" ht="22" customHeight="1" spans="1:7" x14ac:dyDescent="0.25">
      <c r="A33" s="40">
        <f>IF((ROW()-3)&lt;=('首頁'!$B$8*12),ROW()-3,"")</f>
      </c>
      <c r="B33" s="41">
        <f>IF((ROW()-3)&lt;=('首頁'!$B$8*12),C33+D33,"")</f>
      </c>
      <c r="C33" s="42">
        <f>IF((ROW()-3)&lt;=('首頁'!$B$8*12),G33*'首頁'!$B$7/12/100,"")</f>
      </c>
      <c r="D33" s="42">
        <f>IF((ROW()-3)&lt;=('首頁'!$B$8*12),IF(ROW()-3=('首頁'!$B$8*12),G33,MIN(G33,'首頁'!$B$13-C33)),"")</f>
      </c>
      <c r="E33" s="42">
        <f>IF((ROW()-3)&lt;=('首頁'!$B$8*12),G33-D33,"")</f>
      </c>
      <c r="G33" s="39">
        <f>IF((ROW()-3)&lt;=('首頁'!$B$8*12),E32,"")</f>
      </c>
    </row>
    <row r="34" ht="22" customHeight="1" spans="1:7" x14ac:dyDescent="0.25">
      <c r="A34" s="36">
        <f>IF((ROW()-3)&lt;=('首頁'!$B$8*12),ROW()-3,"")</f>
      </c>
      <c r="B34" s="37">
        <f>IF((ROW()-3)&lt;=('首頁'!$B$8*12),C34+D34,"")</f>
      </c>
      <c r="C34" s="38">
        <f>IF((ROW()-3)&lt;=('首頁'!$B$8*12),G34*'首頁'!$B$7/12/100,"")</f>
      </c>
      <c r="D34" s="38">
        <f>IF((ROW()-3)&lt;=('首頁'!$B$8*12),IF(ROW()-3=('首頁'!$B$8*12),G34,MIN(G34,'首頁'!$B$13-C34)),"")</f>
      </c>
      <c r="E34" s="38">
        <f>IF((ROW()-3)&lt;=('首頁'!$B$8*12),G34-D34,"")</f>
      </c>
      <c r="G34" s="39">
        <f>IF((ROW()-3)&lt;=('首頁'!$B$8*12),E33,"")</f>
      </c>
    </row>
    <row r="35" ht="22" customHeight="1" spans="1:7" x14ac:dyDescent="0.25">
      <c r="A35" s="40">
        <f>IF((ROW()-3)&lt;=('首頁'!$B$8*12),ROW()-3,"")</f>
      </c>
      <c r="B35" s="41">
        <f>IF((ROW()-3)&lt;=('首頁'!$B$8*12),C35+D35,"")</f>
      </c>
      <c r="C35" s="42">
        <f>IF((ROW()-3)&lt;=('首頁'!$B$8*12),G35*'首頁'!$B$7/12/100,"")</f>
      </c>
      <c r="D35" s="42">
        <f>IF((ROW()-3)&lt;=('首頁'!$B$8*12),IF(ROW()-3=('首頁'!$B$8*12),G35,MIN(G35,'首頁'!$B$13-C35)),"")</f>
      </c>
      <c r="E35" s="42">
        <f>IF((ROW()-3)&lt;=('首頁'!$B$8*12),G35-D35,"")</f>
      </c>
      <c r="G35" s="39">
        <f>IF((ROW()-3)&lt;=('首頁'!$B$8*12),E34,"")</f>
      </c>
    </row>
    <row r="36" ht="22" customHeight="1" spans="1:7" x14ac:dyDescent="0.25">
      <c r="A36" s="36">
        <f>IF((ROW()-3)&lt;=('首頁'!$B$8*12),ROW()-3,"")</f>
      </c>
      <c r="B36" s="37">
        <f>IF((ROW()-3)&lt;=('首頁'!$B$8*12),C36+D36,"")</f>
      </c>
      <c r="C36" s="38">
        <f>IF((ROW()-3)&lt;=('首頁'!$B$8*12),G36*'首頁'!$B$7/12/100,"")</f>
      </c>
      <c r="D36" s="38">
        <f>IF((ROW()-3)&lt;=('首頁'!$B$8*12),IF(ROW()-3=('首頁'!$B$8*12),G36,MIN(G36,'首頁'!$B$13-C36)),"")</f>
      </c>
      <c r="E36" s="38">
        <f>IF((ROW()-3)&lt;=('首頁'!$B$8*12),G36-D36,"")</f>
      </c>
      <c r="G36" s="39">
        <f>IF((ROW()-3)&lt;=('首頁'!$B$8*12),E35,"")</f>
      </c>
    </row>
    <row r="37" ht="22" customHeight="1" spans="1:7" x14ac:dyDescent="0.25">
      <c r="A37" s="40">
        <f>IF((ROW()-3)&lt;=('首頁'!$B$8*12),ROW()-3,"")</f>
      </c>
      <c r="B37" s="41">
        <f>IF((ROW()-3)&lt;=('首頁'!$B$8*12),C37+D37,"")</f>
      </c>
      <c r="C37" s="42">
        <f>IF((ROW()-3)&lt;=('首頁'!$B$8*12),G37*'首頁'!$B$7/12/100,"")</f>
      </c>
      <c r="D37" s="42">
        <f>IF((ROW()-3)&lt;=('首頁'!$B$8*12),IF(ROW()-3=('首頁'!$B$8*12),G37,MIN(G37,'首頁'!$B$13-C37)),"")</f>
      </c>
      <c r="E37" s="42">
        <f>IF((ROW()-3)&lt;=('首頁'!$B$8*12),G37-D37,"")</f>
      </c>
      <c r="G37" s="39">
        <f>IF((ROW()-3)&lt;=('首頁'!$B$8*12),E36,"")</f>
      </c>
    </row>
    <row r="38" ht="22" customHeight="1" spans="1:7" x14ac:dyDescent="0.25">
      <c r="A38" s="36">
        <f>IF((ROW()-3)&lt;=('首頁'!$B$8*12),ROW()-3,"")</f>
      </c>
      <c r="B38" s="37">
        <f>IF((ROW()-3)&lt;=('首頁'!$B$8*12),C38+D38,"")</f>
      </c>
      <c r="C38" s="38">
        <f>IF((ROW()-3)&lt;=('首頁'!$B$8*12),G38*'首頁'!$B$7/12/100,"")</f>
      </c>
      <c r="D38" s="38">
        <f>IF((ROW()-3)&lt;=('首頁'!$B$8*12),IF(ROW()-3=('首頁'!$B$8*12),G38,MIN(G38,'首頁'!$B$13-C38)),"")</f>
      </c>
      <c r="E38" s="38">
        <f>IF((ROW()-3)&lt;=('首頁'!$B$8*12),G38-D38,"")</f>
      </c>
      <c r="G38" s="39">
        <f>IF((ROW()-3)&lt;=('首頁'!$B$8*12),E37,"")</f>
      </c>
    </row>
    <row r="39" ht="22" customHeight="1" spans="1:7" x14ac:dyDescent="0.25">
      <c r="A39" s="40">
        <f>IF((ROW()-3)&lt;=('首頁'!$B$8*12),ROW()-3,"")</f>
      </c>
      <c r="B39" s="41">
        <f>IF((ROW()-3)&lt;=('首頁'!$B$8*12),C39+D39,"")</f>
      </c>
      <c r="C39" s="42">
        <f>IF((ROW()-3)&lt;=('首頁'!$B$8*12),G39*'首頁'!$B$7/12/100,"")</f>
      </c>
      <c r="D39" s="42">
        <f>IF((ROW()-3)&lt;=('首頁'!$B$8*12),IF(ROW()-3=('首頁'!$B$8*12),G39,MIN(G39,'首頁'!$B$13-C39)),"")</f>
      </c>
      <c r="E39" s="42">
        <f>IF((ROW()-3)&lt;=('首頁'!$B$8*12),G39-D39,"")</f>
      </c>
      <c r="G39" s="39">
        <f>IF((ROW()-3)&lt;=('首頁'!$B$8*12),E38,"")</f>
      </c>
    </row>
    <row r="40" ht="22" customHeight="1" spans="1:7" x14ac:dyDescent="0.25">
      <c r="A40" s="36">
        <f>IF((ROW()-3)&lt;=('首頁'!$B$8*12),ROW()-3,"")</f>
      </c>
      <c r="B40" s="37">
        <f>IF((ROW()-3)&lt;=('首頁'!$B$8*12),C40+D40,"")</f>
      </c>
      <c r="C40" s="38">
        <f>IF((ROW()-3)&lt;=('首頁'!$B$8*12),G40*'首頁'!$B$7/12/100,"")</f>
      </c>
      <c r="D40" s="38">
        <f>IF((ROW()-3)&lt;=('首頁'!$B$8*12),IF(ROW()-3=('首頁'!$B$8*12),G40,MIN(G40,'首頁'!$B$13-C40)),"")</f>
      </c>
      <c r="E40" s="38">
        <f>IF((ROW()-3)&lt;=('首頁'!$B$8*12),G40-D40,"")</f>
      </c>
      <c r="G40" s="39">
        <f>IF((ROW()-3)&lt;=('首頁'!$B$8*12),E39,"")</f>
      </c>
    </row>
    <row r="41" ht="22" customHeight="1" spans="1:7" x14ac:dyDescent="0.25">
      <c r="A41" s="40">
        <f>IF((ROW()-3)&lt;=('首頁'!$B$8*12),ROW()-3,"")</f>
      </c>
      <c r="B41" s="41">
        <f>IF((ROW()-3)&lt;=('首頁'!$B$8*12),C41+D41,"")</f>
      </c>
      <c r="C41" s="42">
        <f>IF((ROW()-3)&lt;=('首頁'!$B$8*12),G41*'首頁'!$B$7/12/100,"")</f>
      </c>
      <c r="D41" s="42">
        <f>IF((ROW()-3)&lt;=('首頁'!$B$8*12),IF(ROW()-3=('首頁'!$B$8*12),G41,MIN(G41,'首頁'!$B$13-C41)),"")</f>
      </c>
      <c r="E41" s="42">
        <f>IF((ROW()-3)&lt;=('首頁'!$B$8*12),G41-D41,"")</f>
      </c>
      <c r="G41" s="39">
        <f>IF((ROW()-3)&lt;=('首頁'!$B$8*12),E40,"")</f>
      </c>
    </row>
    <row r="42" ht="22" customHeight="1" spans="1:7" x14ac:dyDescent="0.25">
      <c r="A42" s="36">
        <f>IF((ROW()-3)&lt;=('首頁'!$B$8*12),ROW()-3,"")</f>
      </c>
      <c r="B42" s="37">
        <f>IF((ROW()-3)&lt;=('首頁'!$B$8*12),C42+D42,"")</f>
      </c>
      <c r="C42" s="38">
        <f>IF((ROW()-3)&lt;=('首頁'!$B$8*12),G42*'首頁'!$B$7/12/100,"")</f>
      </c>
      <c r="D42" s="38">
        <f>IF((ROW()-3)&lt;=('首頁'!$B$8*12),IF(ROW()-3=('首頁'!$B$8*12),G42,MIN(G42,'首頁'!$B$13-C42)),"")</f>
      </c>
      <c r="E42" s="38">
        <f>IF((ROW()-3)&lt;=('首頁'!$B$8*12),G42-D42,"")</f>
      </c>
      <c r="G42" s="39">
        <f>IF((ROW()-3)&lt;=('首頁'!$B$8*12),E41,"")</f>
      </c>
    </row>
    <row r="43" ht="22" customHeight="1" spans="1:7" x14ac:dyDescent="0.25">
      <c r="A43" s="40">
        <f>IF((ROW()-3)&lt;=('首頁'!$B$8*12),ROW()-3,"")</f>
      </c>
      <c r="B43" s="41">
        <f>IF((ROW()-3)&lt;=('首頁'!$B$8*12),C43+D43,"")</f>
      </c>
      <c r="C43" s="42">
        <f>IF((ROW()-3)&lt;=('首頁'!$B$8*12),G43*'首頁'!$B$7/12/100,"")</f>
      </c>
      <c r="D43" s="42">
        <f>IF((ROW()-3)&lt;=('首頁'!$B$8*12),IF(ROW()-3=('首頁'!$B$8*12),G43,MIN(G43,'首頁'!$B$13-C43)),"")</f>
      </c>
      <c r="E43" s="42">
        <f>IF((ROW()-3)&lt;=('首頁'!$B$8*12),G43-D43,"")</f>
      </c>
      <c r="G43" s="39">
        <f>IF((ROW()-3)&lt;=('首頁'!$B$8*12),E42,"")</f>
      </c>
    </row>
    <row r="44" ht="22" customHeight="1" spans="1:7" x14ac:dyDescent="0.25">
      <c r="A44" s="36">
        <f>IF((ROW()-3)&lt;=('首頁'!$B$8*12),ROW()-3,"")</f>
      </c>
      <c r="B44" s="37">
        <f>IF((ROW()-3)&lt;=('首頁'!$B$8*12),C44+D44,"")</f>
      </c>
      <c r="C44" s="38">
        <f>IF((ROW()-3)&lt;=('首頁'!$B$8*12),G44*'首頁'!$B$7/12/100,"")</f>
      </c>
      <c r="D44" s="38">
        <f>IF((ROW()-3)&lt;=('首頁'!$B$8*12),IF(ROW()-3=('首頁'!$B$8*12),G44,MIN(G44,'首頁'!$B$13-C44)),"")</f>
      </c>
      <c r="E44" s="38">
        <f>IF((ROW()-3)&lt;=('首頁'!$B$8*12),G44-D44,"")</f>
      </c>
      <c r="G44" s="39">
        <f>IF((ROW()-3)&lt;=('首頁'!$B$8*12),E43,"")</f>
      </c>
    </row>
    <row r="45" ht="22" customHeight="1" spans="1:7" x14ac:dyDescent="0.25">
      <c r="A45" s="40">
        <f>IF((ROW()-3)&lt;=('首頁'!$B$8*12),ROW()-3,"")</f>
      </c>
      <c r="B45" s="41">
        <f>IF((ROW()-3)&lt;=('首頁'!$B$8*12),C45+D45,"")</f>
      </c>
      <c r="C45" s="42">
        <f>IF((ROW()-3)&lt;=('首頁'!$B$8*12),G45*'首頁'!$B$7/12/100,"")</f>
      </c>
      <c r="D45" s="42">
        <f>IF((ROW()-3)&lt;=('首頁'!$B$8*12),IF(ROW()-3=('首頁'!$B$8*12),G45,MIN(G45,'首頁'!$B$13-C45)),"")</f>
      </c>
      <c r="E45" s="42">
        <f>IF((ROW()-3)&lt;=('首頁'!$B$8*12),G45-D45,"")</f>
      </c>
      <c r="G45" s="39">
        <f>IF((ROW()-3)&lt;=('首頁'!$B$8*12),E44,"")</f>
      </c>
    </row>
    <row r="46" ht="22" customHeight="1" spans="1:7" x14ac:dyDescent="0.25">
      <c r="A46" s="36">
        <f>IF((ROW()-3)&lt;=('首頁'!$B$8*12),ROW()-3,"")</f>
      </c>
      <c r="B46" s="37">
        <f>IF((ROW()-3)&lt;=('首頁'!$B$8*12),C46+D46,"")</f>
      </c>
      <c r="C46" s="38">
        <f>IF((ROW()-3)&lt;=('首頁'!$B$8*12),G46*'首頁'!$B$7/12/100,"")</f>
      </c>
      <c r="D46" s="38">
        <f>IF((ROW()-3)&lt;=('首頁'!$B$8*12),IF(ROW()-3=('首頁'!$B$8*12),G46,MIN(G46,'首頁'!$B$13-C46)),"")</f>
      </c>
      <c r="E46" s="38">
        <f>IF((ROW()-3)&lt;=('首頁'!$B$8*12),G46-D46,"")</f>
      </c>
      <c r="G46" s="39">
        <f>IF((ROW()-3)&lt;=('首頁'!$B$8*12),E45,"")</f>
      </c>
    </row>
    <row r="47" ht="22" customHeight="1" spans="1:7" x14ac:dyDescent="0.25">
      <c r="A47" s="40">
        <f>IF((ROW()-3)&lt;=('首頁'!$B$8*12),ROW()-3,"")</f>
      </c>
      <c r="B47" s="41">
        <f>IF((ROW()-3)&lt;=('首頁'!$B$8*12),C47+D47,"")</f>
      </c>
      <c r="C47" s="42">
        <f>IF((ROW()-3)&lt;=('首頁'!$B$8*12),G47*'首頁'!$B$7/12/100,"")</f>
      </c>
      <c r="D47" s="42">
        <f>IF((ROW()-3)&lt;=('首頁'!$B$8*12),IF(ROW()-3=('首頁'!$B$8*12),G47,MIN(G47,'首頁'!$B$13-C47)),"")</f>
      </c>
      <c r="E47" s="42">
        <f>IF((ROW()-3)&lt;=('首頁'!$B$8*12),G47-D47,"")</f>
      </c>
      <c r="G47" s="39">
        <f>IF((ROW()-3)&lt;=('首頁'!$B$8*12),E46,"")</f>
      </c>
    </row>
    <row r="48" ht="22" customHeight="1" spans="1:7" x14ac:dyDescent="0.25">
      <c r="A48" s="36">
        <f>IF((ROW()-3)&lt;=('首頁'!$B$8*12),ROW()-3,"")</f>
      </c>
      <c r="B48" s="37">
        <f>IF((ROW()-3)&lt;=('首頁'!$B$8*12),C48+D48,"")</f>
      </c>
      <c r="C48" s="38">
        <f>IF((ROW()-3)&lt;=('首頁'!$B$8*12),G48*'首頁'!$B$7/12/100,"")</f>
      </c>
      <c r="D48" s="38">
        <f>IF((ROW()-3)&lt;=('首頁'!$B$8*12),IF(ROW()-3=('首頁'!$B$8*12),G48,MIN(G48,'首頁'!$B$13-C48)),"")</f>
      </c>
      <c r="E48" s="38">
        <f>IF((ROW()-3)&lt;=('首頁'!$B$8*12),G48-D48,"")</f>
      </c>
      <c r="G48" s="39">
        <f>IF((ROW()-3)&lt;=('首頁'!$B$8*12),E47,"")</f>
      </c>
    </row>
    <row r="49" ht="22" customHeight="1" spans="1:7" x14ac:dyDescent="0.25">
      <c r="A49" s="40">
        <f>IF((ROW()-3)&lt;=('首頁'!$B$8*12),ROW()-3,"")</f>
      </c>
      <c r="B49" s="41">
        <f>IF((ROW()-3)&lt;=('首頁'!$B$8*12),C49+D49,"")</f>
      </c>
      <c r="C49" s="42">
        <f>IF((ROW()-3)&lt;=('首頁'!$B$8*12),G49*'首頁'!$B$7/12/100,"")</f>
      </c>
      <c r="D49" s="42">
        <f>IF((ROW()-3)&lt;=('首頁'!$B$8*12),IF(ROW()-3=('首頁'!$B$8*12),G49,MIN(G49,'首頁'!$B$13-C49)),"")</f>
      </c>
      <c r="E49" s="42">
        <f>IF((ROW()-3)&lt;=('首頁'!$B$8*12),G49-D49,"")</f>
      </c>
      <c r="G49" s="39">
        <f>IF((ROW()-3)&lt;=('首頁'!$B$8*12),E48,"")</f>
      </c>
    </row>
    <row r="50" ht="22" customHeight="1" spans="1:7" x14ac:dyDescent="0.25">
      <c r="A50" s="36">
        <f>IF((ROW()-3)&lt;=('首頁'!$B$8*12),ROW()-3,"")</f>
      </c>
      <c r="B50" s="37">
        <f>IF((ROW()-3)&lt;=('首頁'!$B$8*12),C50+D50,"")</f>
      </c>
      <c r="C50" s="38">
        <f>IF((ROW()-3)&lt;=('首頁'!$B$8*12),G50*'首頁'!$B$7/12/100,"")</f>
      </c>
      <c r="D50" s="38">
        <f>IF((ROW()-3)&lt;=('首頁'!$B$8*12),IF(ROW()-3=('首頁'!$B$8*12),G50,MIN(G50,'首頁'!$B$13-C50)),"")</f>
      </c>
      <c r="E50" s="38">
        <f>IF((ROW()-3)&lt;=('首頁'!$B$8*12),G50-D50,"")</f>
      </c>
      <c r="G50" s="39">
        <f>IF((ROW()-3)&lt;=('首頁'!$B$8*12),E49,"")</f>
      </c>
    </row>
    <row r="51" ht="22" customHeight="1" spans="1:7" x14ac:dyDescent="0.25">
      <c r="A51" s="40">
        <f>IF((ROW()-3)&lt;=('首頁'!$B$8*12),ROW()-3,"")</f>
      </c>
      <c r="B51" s="41">
        <f>IF((ROW()-3)&lt;=('首頁'!$B$8*12),C51+D51,"")</f>
      </c>
      <c r="C51" s="42">
        <f>IF((ROW()-3)&lt;=('首頁'!$B$8*12),G51*'首頁'!$B$7/12/100,"")</f>
      </c>
      <c r="D51" s="42">
        <f>IF((ROW()-3)&lt;=('首頁'!$B$8*12),IF(ROW()-3=('首頁'!$B$8*12),G51,MIN(G51,'首頁'!$B$13-C51)),"")</f>
      </c>
      <c r="E51" s="42">
        <f>IF((ROW()-3)&lt;=('首頁'!$B$8*12),G51-D51,"")</f>
      </c>
      <c r="G51" s="39">
        <f>IF((ROW()-3)&lt;=('首頁'!$B$8*12),E50,"")</f>
      </c>
    </row>
    <row r="52" ht="22" customHeight="1" spans="1:7" x14ac:dyDescent="0.25">
      <c r="A52" s="36">
        <f>IF((ROW()-3)&lt;=('首頁'!$B$8*12),ROW()-3,"")</f>
      </c>
      <c r="B52" s="37">
        <f>IF((ROW()-3)&lt;=('首頁'!$B$8*12),C52+D52,"")</f>
      </c>
      <c r="C52" s="38">
        <f>IF((ROW()-3)&lt;=('首頁'!$B$8*12),G52*'首頁'!$B$7/12/100,"")</f>
      </c>
      <c r="D52" s="38">
        <f>IF((ROW()-3)&lt;=('首頁'!$B$8*12),IF(ROW()-3=('首頁'!$B$8*12),G52,MIN(G52,'首頁'!$B$13-C52)),"")</f>
      </c>
      <c r="E52" s="38">
        <f>IF((ROW()-3)&lt;=('首頁'!$B$8*12),G52-D52,"")</f>
      </c>
      <c r="G52" s="39">
        <f>IF((ROW()-3)&lt;=('首頁'!$B$8*12),E51,"")</f>
      </c>
    </row>
    <row r="53" ht="22" customHeight="1" spans="1:7" x14ac:dyDescent="0.25">
      <c r="A53" s="40">
        <f>IF((ROW()-3)&lt;=('首頁'!$B$8*12),ROW()-3,"")</f>
      </c>
      <c r="B53" s="41">
        <f>IF((ROW()-3)&lt;=('首頁'!$B$8*12),C53+D53,"")</f>
      </c>
      <c r="C53" s="42">
        <f>IF((ROW()-3)&lt;=('首頁'!$B$8*12),G53*'首頁'!$B$7/12/100,"")</f>
      </c>
      <c r="D53" s="42">
        <f>IF((ROW()-3)&lt;=('首頁'!$B$8*12),IF(ROW()-3=('首頁'!$B$8*12),G53,MIN(G53,'首頁'!$B$13-C53)),"")</f>
      </c>
      <c r="E53" s="42">
        <f>IF((ROW()-3)&lt;=('首頁'!$B$8*12),G53-D53,"")</f>
      </c>
      <c r="G53" s="39">
        <f>IF((ROW()-3)&lt;=('首頁'!$B$8*12),E52,"")</f>
      </c>
    </row>
    <row r="54" ht="22" customHeight="1" spans="1:7" x14ac:dyDescent="0.25">
      <c r="A54" s="36">
        <f>IF((ROW()-3)&lt;=('首頁'!$B$8*12),ROW()-3,"")</f>
      </c>
      <c r="B54" s="37">
        <f>IF((ROW()-3)&lt;=('首頁'!$B$8*12),C54+D54,"")</f>
      </c>
      <c r="C54" s="38">
        <f>IF((ROW()-3)&lt;=('首頁'!$B$8*12),G54*'首頁'!$B$7/12/100,"")</f>
      </c>
      <c r="D54" s="38">
        <f>IF((ROW()-3)&lt;=('首頁'!$B$8*12),IF(ROW()-3=('首頁'!$B$8*12),G54,MIN(G54,'首頁'!$B$13-C54)),"")</f>
      </c>
      <c r="E54" s="38">
        <f>IF((ROW()-3)&lt;=('首頁'!$B$8*12),G54-D54,"")</f>
      </c>
      <c r="G54" s="39">
        <f>IF((ROW()-3)&lt;=('首頁'!$B$8*12),E53,"")</f>
      </c>
    </row>
    <row r="55" ht="22" customHeight="1" spans="1:7" x14ac:dyDescent="0.25">
      <c r="A55" s="40">
        <f>IF((ROW()-3)&lt;=('首頁'!$B$8*12),ROW()-3,"")</f>
      </c>
      <c r="B55" s="41">
        <f>IF((ROW()-3)&lt;=('首頁'!$B$8*12),C55+D55,"")</f>
      </c>
      <c r="C55" s="42">
        <f>IF((ROW()-3)&lt;=('首頁'!$B$8*12),G55*'首頁'!$B$7/12/100,"")</f>
      </c>
      <c r="D55" s="42">
        <f>IF((ROW()-3)&lt;=('首頁'!$B$8*12),IF(ROW()-3=('首頁'!$B$8*12),G55,MIN(G55,'首頁'!$B$13-C55)),"")</f>
      </c>
      <c r="E55" s="42">
        <f>IF((ROW()-3)&lt;=('首頁'!$B$8*12),G55-D55,"")</f>
      </c>
      <c r="G55" s="39">
        <f>IF((ROW()-3)&lt;=('首頁'!$B$8*12),E54,"")</f>
      </c>
    </row>
    <row r="56" ht="22" customHeight="1" spans="1:7" x14ac:dyDescent="0.25">
      <c r="A56" s="36">
        <f>IF((ROW()-3)&lt;=('首頁'!$B$8*12),ROW()-3,"")</f>
      </c>
      <c r="B56" s="37">
        <f>IF((ROW()-3)&lt;=('首頁'!$B$8*12),C56+D56,"")</f>
      </c>
      <c r="C56" s="38">
        <f>IF((ROW()-3)&lt;=('首頁'!$B$8*12),G56*'首頁'!$B$7/12/100,"")</f>
      </c>
      <c r="D56" s="38">
        <f>IF((ROW()-3)&lt;=('首頁'!$B$8*12),IF(ROW()-3=('首頁'!$B$8*12),G56,MIN(G56,'首頁'!$B$13-C56)),"")</f>
      </c>
      <c r="E56" s="38">
        <f>IF((ROW()-3)&lt;=('首頁'!$B$8*12),G56-D56,"")</f>
      </c>
      <c r="G56" s="39">
        <f>IF((ROW()-3)&lt;=('首頁'!$B$8*12),E55,"")</f>
      </c>
    </row>
    <row r="57" ht="22" customHeight="1" spans="1:7" x14ac:dyDescent="0.25">
      <c r="A57" s="40">
        <f>IF((ROW()-3)&lt;=('首頁'!$B$8*12),ROW()-3,"")</f>
      </c>
      <c r="B57" s="41">
        <f>IF((ROW()-3)&lt;=('首頁'!$B$8*12),C57+D57,"")</f>
      </c>
      <c r="C57" s="42">
        <f>IF((ROW()-3)&lt;=('首頁'!$B$8*12),G57*'首頁'!$B$7/12/100,"")</f>
      </c>
      <c r="D57" s="42">
        <f>IF((ROW()-3)&lt;=('首頁'!$B$8*12),IF(ROW()-3=('首頁'!$B$8*12),G57,MIN(G57,'首頁'!$B$13-C57)),"")</f>
      </c>
      <c r="E57" s="42">
        <f>IF((ROW()-3)&lt;=('首頁'!$B$8*12),G57-D57,"")</f>
      </c>
      <c r="G57" s="39">
        <f>IF((ROW()-3)&lt;=('首頁'!$B$8*12),E56,"")</f>
      </c>
    </row>
    <row r="58" ht="22" customHeight="1" spans="1:7" x14ac:dyDescent="0.25">
      <c r="A58" s="36">
        <f>IF((ROW()-3)&lt;=('首頁'!$B$8*12),ROW()-3,"")</f>
      </c>
      <c r="B58" s="37">
        <f>IF((ROW()-3)&lt;=('首頁'!$B$8*12),C58+D58,"")</f>
      </c>
      <c r="C58" s="38">
        <f>IF((ROW()-3)&lt;=('首頁'!$B$8*12),G58*'首頁'!$B$7/12/100,"")</f>
      </c>
      <c r="D58" s="38">
        <f>IF((ROW()-3)&lt;=('首頁'!$B$8*12),IF(ROW()-3=('首頁'!$B$8*12),G58,MIN(G58,'首頁'!$B$13-C58)),"")</f>
      </c>
      <c r="E58" s="38">
        <f>IF((ROW()-3)&lt;=('首頁'!$B$8*12),G58-D58,"")</f>
      </c>
      <c r="G58" s="39">
        <f>IF((ROW()-3)&lt;=('首頁'!$B$8*12),E57,"")</f>
      </c>
    </row>
    <row r="59" ht="22" customHeight="1" spans="1:7" x14ac:dyDescent="0.25">
      <c r="A59" s="40">
        <f>IF((ROW()-3)&lt;=('首頁'!$B$8*12),ROW()-3,"")</f>
      </c>
      <c r="B59" s="41">
        <f>IF((ROW()-3)&lt;=('首頁'!$B$8*12),C59+D59,"")</f>
      </c>
      <c r="C59" s="42">
        <f>IF((ROW()-3)&lt;=('首頁'!$B$8*12),G59*'首頁'!$B$7/12/100,"")</f>
      </c>
      <c r="D59" s="42">
        <f>IF((ROW()-3)&lt;=('首頁'!$B$8*12),IF(ROW()-3=('首頁'!$B$8*12),G59,MIN(G59,'首頁'!$B$13-C59)),"")</f>
      </c>
      <c r="E59" s="42">
        <f>IF((ROW()-3)&lt;=('首頁'!$B$8*12),G59-D59,"")</f>
      </c>
      <c r="G59" s="39">
        <f>IF((ROW()-3)&lt;=('首頁'!$B$8*12),E58,"")</f>
      </c>
    </row>
    <row r="60" ht="22" customHeight="1" spans="1:7" x14ac:dyDescent="0.25">
      <c r="A60" s="36">
        <f>IF((ROW()-3)&lt;=('首頁'!$B$8*12),ROW()-3,"")</f>
      </c>
      <c r="B60" s="37">
        <f>IF((ROW()-3)&lt;=('首頁'!$B$8*12),C60+D60,"")</f>
      </c>
      <c r="C60" s="38">
        <f>IF((ROW()-3)&lt;=('首頁'!$B$8*12),G60*'首頁'!$B$7/12/100,"")</f>
      </c>
      <c r="D60" s="38">
        <f>IF((ROW()-3)&lt;=('首頁'!$B$8*12),IF(ROW()-3=('首頁'!$B$8*12),G60,MIN(G60,'首頁'!$B$13-C60)),"")</f>
      </c>
      <c r="E60" s="38">
        <f>IF((ROW()-3)&lt;=('首頁'!$B$8*12),G60-D60,"")</f>
      </c>
      <c r="G60" s="39">
        <f>IF((ROW()-3)&lt;=('首頁'!$B$8*12),E59,"")</f>
      </c>
    </row>
    <row r="61" ht="22" customHeight="1" spans="1:7" x14ac:dyDescent="0.25">
      <c r="A61" s="40">
        <f>IF((ROW()-3)&lt;=('首頁'!$B$8*12),ROW()-3,"")</f>
      </c>
      <c r="B61" s="41">
        <f>IF((ROW()-3)&lt;=('首頁'!$B$8*12),C61+D61,"")</f>
      </c>
      <c r="C61" s="42">
        <f>IF((ROW()-3)&lt;=('首頁'!$B$8*12),G61*'首頁'!$B$7/12/100,"")</f>
      </c>
      <c r="D61" s="42">
        <f>IF((ROW()-3)&lt;=('首頁'!$B$8*12),IF(ROW()-3=('首頁'!$B$8*12),G61,MIN(G61,'首頁'!$B$13-C61)),"")</f>
      </c>
      <c r="E61" s="42">
        <f>IF((ROW()-3)&lt;=('首頁'!$B$8*12),G61-D61,"")</f>
      </c>
      <c r="G61" s="39">
        <f>IF((ROW()-3)&lt;=('首頁'!$B$8*12),E60,"")</f>
      </c>
    </row>
    <row r="62" ht="22" customHeight="1" spans="1:7" x14ac:dyDescent="0.25">
      <c r="A62" s="36">
        <f>IF((ROW()-3)&lt;=('首頁'!$B$8*12),ROW()-3,"")</f>
      </c>
      <c r="B62" s="37">
        <f>IF((ROW()-3)&lt;=('首頁'!$B$8*12),C62+D62,"")</f>
      </c>
      <c r="C62" s="38">
        <f>IF((ROW()-3)&lt;=('首頁'!$B$8*12),G62*'首頁'!$B$7/12/100,"")</f>
      </c>
      <c r="D62" s="38">
        <f>IF((ROW()-3)&lt;=('首頁'!$B$8*12),IF(ROW()-3=('首頁'!$B$8*12),G62,MIN(G62,'首頁'!$B$13-C62)),"")</f>
      </c>
      <c r="E62" s="38">
        <f>IF((ROW()-3)&lt;=('首頁'!$B$8*12),G62-D62,"")</f>
      </c>
      <c r="G62" s="39">
        <f>IF((ROW()-3)&lt;=('首頁'!$B$8*12),E61,"")</f>
      </c>
    </row>
    <row r="63" ht="22" customHeight="1" spans="1:7" x14ac:dyDescent="0.25">
      <c r="A63" s="40">
        <f>IF((ROW()-3)&lt;=('首頁'!$B$8*12),ROW()-3,"")</f>
      </c>
      <c r="B63" s="41">
        <f>IF((ROW()-3)&lt;=('首頁'!$B$8*12),C63+D63,"")</f>
      </c>
      <c r="C63" s="42">
        <f>IF((ROW()-3)&lt;=('首頁'!$B$8*12),G63*'首頁'!$B$7/12/100,"")</f>
      </c>
      <c r="D63" s="42">
        <f>IF((ROW()-3)&lt;=('首頁'!$B$8*12),IF(ROW()-3=('首頁'!$B$8*12),G63,MIN(G63,'首頁'!$B$13-C63)),"")</f>
      </c>
      <c r="E63" s="42">
        <f>IF((ROW()-3)&lt;=('首頁'!$B$8*12),G63-D63,"")</f>
      </c>
      <c r="G63" s="39">
        <f>IF((ROW()-3)&lt;=('首頁'!$B$8*12),E62,"")</f>
      </c>
    </row>
    <row r="64" ht="22" customHeight="1" spans="1:7" x14ac:dyDescent="0.25">
      <c r="A64" s="36">
        <f>IF((ROW()-3)&lt;=('首頁'!$B$8*12),ROW()-3,"")</f>
      </c>
      <c r="B64" s="37">
        <f>IF((ROW()-3)&lt;=('首頁'!$B$8*12),C64+D64,"")</f>
      </c>
      <c r="C64" s="38">
        <f>IF((ROW()-3)&lt;=('首頁'!$B$8*12),G64*'首頁'!$B$7/12/100,"")</f>
      </c>
      <c r="D64" s="38">
        <f>IF((ROW()-3)&lt;=('首頁'!$B$8*12),IF(ROW()-3=('首頁'!$B$8*12),G64,MIN(G64,'首頁'!$B$13-C64)),"")</f>
      </c>
      <c r="E64" s="38">
        <f>IF((ROW()-3)&lt;=('首頁'!$B$8*12),G64-D64,"")</f>
      </c>
      <c r="G64" s="39">
        <f>IF((ROW()-3)&lt;=('首頁'!$B$8*12),E63,"")</f>
      </c>
    </row>
    <row r="65" ht="22" customHeight="1" spans="1:7" x14ac:dyDescent="0.25">
      <c r="A65" s="40">
        <f>IF((ROW()-3)&lt;=('首頁'!$B$8*12),ROW()-3,"")</f>
      </c>
      <c r="B65" s="41">
        <f>IF((ROW()-3)&lt;=('首頁'!$B$8*12),C65+D65,"")</f>
      </c>
      <c r="C65" s="42">
        <f>IF((ROW()-3)&lt;=('首頁'!$B$8*12),G65*'首頁'!$B$7/12/100,"")</f>
      </c>
      <c r="D65" s="42">
        <f>IF((ROW()-3)&lt;=('首頁'!$B$8*12),IF(ROW()-3=('首頁'!$B$8*12),G65,MIN(G65,'首頁'!$B$13-C65)),"")</f>
      </c>
      <c r="E65" s="42">
        <f>IF((ROW()-3)&lt;=('首頁'!$B$8*12),G65-D65,"")</f>
      </c>
      <c r="G65" s="39">
        <f>IF((ROW()-3)&lt;=('首頁'!$B$8*12),E64,"")</f>
      </c>
    </row>
    <row r="66" ht="22" customHeight="1" spans="1:7" x14ac:dyDescent="0.25">
      <c r="A66" s="36">
        <f>IF((ROW()-3)&lt;=('首頁'!$B$8*12),ROW()-3,"")</f>
      </c>
      <c r="B66" s="37">
        <f>IF((ROW()-3)&lt;=('首頁'!$B$8*12),C66+D66,"")</f>
      </c>
      <c r="C66" s="38">
        <f>IF((ROW()-3)&lt;=('首頁'!$B$8*12),G66*'首頁'!$B$7/12/100,"")</f>
      </c>
      <c r="D66" s="38">
        <f>IF((ROW()-3)&lt;=('首頁'!$B$8*12),IF(ROW()-3=('首頁'!$B$8*12),G66,MIN(G66,'首頁'!$B$13-C66)),"")</f>
      </c>
      <c r="E66" s="38">
        <f>IF((ROW()-3)&lt;=('首頁'!$B$8*12),G66-D66,"")</f>
      </c>
      <c r="G66" s="39">
        <f>IF((ROW()-3)&lt;=('首頁'!$B$8*12),E65,"")</f>
      </c>
    </row>
    <row r="67" ht="22" customHeight="1" spans="1:7" x14ac:dyDescent="0.25">
      <c r="A67" s="40">
        <f>IF((ROW()-3)&lt;=('首頁'!$B$8*12),ROW()-3,"")</f>
      </c>
      <c r="B67" s="41">
        <f>IF((ROW()-3)&lt;=('首頁'!$B$8*12),C67+D67,"")</f>
      </c>
      <c r="C67" s="42">
        <f>IF((ROW()-3)&lt;=('首頁'!$B$8*12),G67*'首頁'!$B$7/12/100,"")</f>
      </c>
      <c r="D67" s="42">
        <f>IF((ROW()-3)&lt;=('首頁'!$B$8*12),IF(ROW()-3=('首頁'!$B$8*12),G67,MIN(G67,'首頁'!$B$13-C67)),"")</f>
      </c>
      <c r="E67" s="42">
        <f>IF((ROW()-3)&lt;=('首頁'!$B$8*12),G67-D67,"")</f>
      </c>
      <c r="G67" s="39">
        <f>IF((ROW()-3)&lt;=('首頁'!$B$8*12),E66,"")</f>
      </c>
    </row>
    <row r="68" ht="22" customHeight="1" spans="1:7" x14ac:dyDescent="0.25">
      <c r="A68" s="36">
        <f>IF((ROW()-3)&lt;=('首頁'!$B$8*12),ROW()-3,"")</f>
      </c>
      <c r="B68" s="37">
        <f>IF((ROW()-3)&lt;=('首頁'!$B$8*12),C68+D68,"")</f>
      </c>
      <c r="C68" s="38">
        <f>IF((ROW()-3)&lt;=('首頁'!$B$8*12),G68*'首頁'!$B$7/12/100,"")</f>
      </c>
      <c r="D68" s="38">
        <f>IF((ROW()-3)&lt;=('首頁'!$B$8*12),IF(ROW()-3=('首頁'!$B$8*12),G68,MIN(G68,'首頁'!$B$13-C68)),"")</f>
      </c>
      <c r="E68" s="38">
        <f>IF((ROW()-3)&lt;=('首頁'!$B$8*12),G68-D68,"")</f>
      </c>
      <c r="G68" s="39">
        <f>IF((ROW()-3)&lt;=('首頁'!$B$8*12),E67,"")</f>
      </c>
    </row>
    <row r="69" ht="22" customHeight="1" spans="1:7" x14ac:dyDescent="0.25">
      <c r="A69" s="40">
        <f>IF((ROW()-3)&lt;=('首頁'!$B$8*12),ROW()-3,"")</f>
      </c>
      <c r="B69" s="41">
        <f>IF((ROW()-3)&lt;=('首頁'!$B$8*12),C69+D69,"")</f>
      </c>
      <c r="C69" s="42">
        <f>IF((ROW()-3)&lt;=('首頁'!$B$8*12),G69*'首頁'!$B$7/12/100,"")</f>
      </c>
      <c r="D69" s="42">
        <f>IF((ROW()-3)&lt;=('首頁'!$B$8*12),IF(ROW()-3=('首頁'!$B$8*12),G69,MIN(G69,'首頁'!$B$13-C69)),"")</f>
      </c>
      <c r="E69" s="42">
        <f>IF((ROW()-3)&lt;=('首頁'!$B$8*12),G69-D69,"")</f>
      </c>
      <c r="G69" s="39">
        <f>IF((ROW()-3)&lt;=('首頁'!$B$8*12),E68,"")</f>
      </c>
    </row>
    <row r="70" ht="22" customHeight="1" spans="1:7" x14ac:dyDescent="0.25">
      <c r="A70" s="36">
        <f>IF((ROW()-3)&lt;=('首頁'!$B$8*12),ROW()-3,"")</f>
      </c>
      <c r="B70" s="37">
        <f>IF((ROW()-3)&lt;=('首頁'!$B$8*12),C70+D70,"")</f>
      </c>
      <c r="C70" s="38">
        <f>IF((ROW()-3)&lt;=('首頁'!$B$8*12),G70*'首頁'!$B$7/12/100,"")</f>
      </c>
      <c r="D70" s="38">
        <f>IF((ROW()-3)&lt;=('首頁'!$B$8*12),IF(ROW()-3=('首頁'!$B$8*12),G70,MIN(G70,'首頁'!$B$13-C70)),"")</f>
      </c>
      <c r="E70" s="38">
        <f>IF((ROW()-3)&lt;=('首頁'!$B$8*12),G70-D70,"")</f>
      </c>
      <c r="G70" s="39">
        <f>IF((ROW()-3)&lt;=('首頁'!$B$8*12),E69,"")</f>
      </c>
    </row>
    <row r="71" ht="22" customHeight="1" spans="1:7" x14ac:dyDescent="0.25">
      <c r="A71" s="40">
        <f>IF((ROW()-3)&lt;=('首頁'!$B$8*12),ROW()-3,"")</f>
      </c>
      <c r="B71" s="41">
        <f>IF((ROW()-3)&lt;=('首頁'!$B$8*12),C71+D71,"")</f>
      </c>
      <c r="C71" s="42">
        <f>IF((ROW()-3)&lt;=('首頁'!$B$8*12),G71*'首頁'!$B$7/12/100,"")</f>
      </c>
      <c r="D71" s="42">
        <f>IF((ROW()-3)&lt;=('首頁'!$B$8*12),IF(ROW()-3=('首頁'!$B$8*12),G71,MIN(G71,'首頁'!$B$13-C71)),"")</f>
      </c>
      <c r="E71" s="42">
        <f>IF((ROW()-3)&lt;=('首頁'!$B$8*12),G71-D71,"")</f>
      </c>
      <c r="G71" s="39">
        <f>IF((ROW()-3)&lt;=('首頁'!$B$8*12),E70,"")</f>
      </c>
    </row>
    <row r="72" ht="22" customHeight="1" spans="1:7" x14ac:dyDescent="0.25">
      <c r="A72" s="36">
        <f>IF((ROW()-3)&lt;=('首頁'!$B$8*12),ROW()-3,"")</f>
      </c>
      <c r="B72" s="37">
        <f>IF((ROW()-3)&lt;=('首頁'!$B$8*12),C72+D72,"")</f>
      </c>
      <c r="C72" s="38">
        <f>IF((ROW()-3)&lt;=('首頁'!$B$8*12),G72*'首頁'!$B$7/12/100,"")</f>
      </c>
      <c r="D72" s="38">
        <f>IF((ROW()-3)&lt;=('首頁'!$B$8*12),IF(ROW()-3=('首頁'!$B$8*12),G72,MIN(G72,'首頁'!$B$13-C72)),"")</f>
      </c>
      <c r="E72" s="38">
        <f>IF((ROW()-3)&lt;=('首頁'!$B$8*12),G72-D72,"")</f>
      </c>
      <c r="G72" s="39">
        <f>IF((ROW()-3)&lt;=('首頁'!$B$8*12),E71,"")</f>
      </c>
    </row>
    <row r="73" ht="22" customHeight="1" spans="1:7" x14ac:dyDescent="0.25">
      <c r="A73" s="40">
        <f>IF((ROW()-3)&lt;=('首頁'!$B$8*12),ROW()-3,"")</f>
      </c>
      <c r="B73" s="41">
        <f>IF((ROW()-3)&lt;=('首頁'!$B$8*12),C73+D73,"")</f>
      </c>
      <c r="C73" s="42">
        <f>IF((ROW()-3)&lt;=('首頁'!$B$8*12),G73*'首頁'!$B$7/12/100,"")</f>
      </c>
      <c r="D73" s="42">
        <f>IF((ROW()-3)&lt;=('首頁'!$B$8*12),IF(ROW()-3=('首頁'!$B$8*12),G73,MIN(G73,'首頁'!$B$13-C73)),"")</f>
      </c>
      <c r="E73" s="42">
        <f>IF((ROW()-3)&lt;=('首頁'!$B$8*12),G73-D73,"")</f>
      </c>
      <c r="G73" s="39">
        <f>IF((ROW()-3)&lt;=('首頁'!$B$8*12),E72,"")</f>
      </c>
    </row>
    <row r="74" ht="22" customHeight="1" spans="1:7" x14ac:dyDescent="0.25">
      <c r="A74" s="36">
        <f>IF((ROW()-3)&lt;=('首頁'!$B$8*12),ROW()-3,"")</f>
      </c>
      <c r="B74" s="37">
        <f>IF((ROW()-3)&lt;=('首頁'!$B$8*12),C74+D74,"")</f>
      </c>
      <c r="C74" s="38">
        <f>IF((ROW()-3)&lt;=('首頁'!$B$8*12),G74*'首頁'!$B$7/12/100,"")</f>
      </c>
      <c r="D74" s="38">
        <f>IF((ROW()-3)&lt;=('首頁'!$B$8*12),IF(ROW()-3=('首頁'!$B$8*12),G74,MIN(G74,'首頁'!$B$13-C74)),"")</f>
      </c>
      <c r="E74" s="38">
        <f>IF((ROW()-3)&lt;=('首頁'!$B$8*12),G74-D74,"")</f>
      </c>
      <c r="G74" s="39">
        <f>IF((ROW()-3)&lt;=('首頁'!$B$8*12),E73,"")</f>
      </c>
    </row>
    <row r="75" ht="22" customHeight="1" spans="1:7" x14ac:dyDescent="0.25">
      <c r="A75" s="40">
        <f>IF((ROW()-3)&lt;=('首頁'!$B$8*12),ROW()-3,"")</f>
      </c>
      <c r="B75" s="41">
        <f>IF((ROW()-3)&lt;=('首頁'!$B$8*12),C75+D75,"")</f>
      </c>
      <c r="C75" s="42">
        <f>IF((ROW()-3)&lt;=('首頁'!$B$8*12),G75*'首頁'!$B$7/12/100,"")</f>
      </c>
      <c r="D75" s="42">
        <f>IF((ROW()-3)&lt;=('首頁'!$B$8*12),IF(ROW()-3=('首頁'!$B$8*12),G75,MIN(G75,'首頁'!$B$13-C75)),"")</f>
      </c>
      <c r="E75" s="42">
        <f>IF((ROW()-3)&lt;=('首頁'!$B$8*12),G75-D75,"")</f>
      </c>
      <c r="G75" s="39">
        <f>IF((ROW()-3)&lt;=('首頁'!$B$8*12),E74,"")</f>
      </c>
    </row>
    <row r="76" ht="22" customHeight="1" spans="1:7" x14ac:dyDescent="0.25">
      <c r="A76" s="36">
        <f>IF((ROW()-3)&lt;=('首頁'!$B$8*12),ROW()-3,"")</f>
      </c>
      <c r="B76" s="37">
        <f>IF((ROW()-3)&lt;=('首頁'!$B$8*12),C76+D76,"")</f>
      </c>
      <c r="C76" s="38">
        <f>IF((ROW()-3)&lt;=('首頁'!$B$8*12),G76*'首頁'!$B$7/12/100,"")</f>
      </c>
      <c r="D76" s="38">
        <f>IF((ROW()-3)&lt;=('首頁'!$B$8*12),IF(ROW()-3=('首頁'!$B$8*12),G76,MIN(G76,'首頁'!$B$13-C76)),"")</f>
      </c>
      <c r="E76" s="38">
        <f>IF((ROW()-3)&lt;=('首頁'!$B$8*12),G76-D76,"")</f>
      </c>
      <c r="G76" s="39">
        <f>IF((ROW()-3)&lt;=('首頁'!$B$8*12),E75,"")</f>
      </c>
    </row>
    <row r="77" ht="22" customHeight="1" spans="1:7" x14ac:dyDescent="0.25">
      <c r="A77" s="40">
        <f>IF((ROW()-3)&lt;=('首頁'!$B$8*12),ROW()-3,"")</f>
      </c>
      <c r="B77" s="41">
        <f>IF((ROW()-3)&lt;=('首頁'!$B$8*12),C77+D77,"")</f>
      </c>
      <c r="C77" s="42">
        <f>IF((ROW()-3)&lt;=('首頁'!$B$8*12),G77*'首頁'!$B$7/12/100,"")</f>
      </c>
      <c r="D77" s="42">
        <f>IF((ROW()-3)&lt;=('首頁'!$B$8*12),IF(ROW()-3=('首頁'!$B$8*12),G77,MIN(G77,'首頁'!$B$13-C77)),"")</f>
      </c>
      <c r="E77" s="42">
        <f>IF((ROW()-3)&lt;=('首頁'!$B$8*12),G77-D77,"")</f>
      </c>
      <c r="G77" s="39">
        <f>IF((ROW()-3)&lt;=('首頁'!$B$8*12),E76,"")</f>
      </c>
    </row>
    <row r="78" ht="22" customHeight="1" spans="1:7" x14ac:dyDescent="0.25">
      <c r="A78" s="36">
        <f>IF((ROW()-3)&lt;=('首頁'!$B$8*12),ROW()-3,"")</f>
      </c>
      <c r="B78" s="37">
        <f>IF((ROW()-3)&lt;=('首頁'!$B$8*12),C78+D78,"")</f>
      </c>
      <c r="C78" s="38">
        <f>IF((ROW()-3)&lt;=('首頁'!$B$8*12),G78*'首頁'!$B$7/12/100,"")</f>
      </c>
      <c r="D78" s="38">
        <f>IF((ROW()-3)&lt;=('首頁'!$B$8*12),IF(ROW()-3=('首頁'!$B$8*12),G78,MIN(G78,'首頁'!$B$13-C78)),"")</f>
      </c>
      <c r="E78" s="38">
        <f>IF((ROW()-3)&lt;=('首頁'!$B$8*12),G78-D78,"")</f>
      </c>
      <c r="G78" s="39">
        <f>IF((ROW()-3)&lt;=('首頁'!$B$8*12),E77,"")</f>
      </c>
    </row>
    <row r="79" ht="22" customHeight="1" spans="1:7" x14ac:dyDescent="0.25">
      <c r="A79" s="40">
        <f>IF((ROW()-3)&lt;=('首頁'!$B$8*12),ROW()-3,"")</f>
      </c>
      <c r="B79" s="41">
        <f>IF((ROW()-3)&lt;=('首頁'!$B$8*12),C79+D79,"")</f>
      </c>
      <c r="C79" s="42">
        <f>IF((ROW()-3)&lt;=('首頁'!$B$8*12),G79*'首頁'!$B$7/12/100,"")</f>
      </c>
      <c r="D79" s="42">
        <f>IF((ROW()-3)&lt;=('首頁'!$B$8*12),IF(ROW()-3=('首頁'!$B$8*12),G79,MIN(G79,'首頁'!$B$13-C79)),"")</f>
      </c>
      <c r="E79" s="42">
        <f>IF((ROW()-3)&lt;=('首頁'!$B$8*12),G79-D79,"")</f>
      </c>
      <c r="G79" s="39">
        <f>IF((ROW()-3)&lt;=('首頁'!$B$8*12),E78,"")</f>
      </c>
    </row>
    <row r="80" ht="22" customHeight="1" spans="1:7" x14ac:dyDescent="0.25">
      <c r="A80" s="36">
        <f>IF((ROW()-3)&lt;=('首頁'!$B$8*12),ROW()-3,"")</f>
      </c>
      <c r="B80" s="37">
        <f>IF((ROW()-3)&lt;=('首頁'!$B$8*12),C80+D80,"")</f>
      </c>
      <c r="C80" s="38">
        <f>IF((ROW()-3)&lt;=('首頁'!$B$8*12),G80*'首頁'!$B$7/12/100,"")</f>
      </c>
      <c r="D80" s="38">
        <f>IF((ROW()-3)&lt;=('首頁'!$B$8*12),IF(ROW()-3=('首頁'!$B$8*12),G80,MIN(G80,'首頁'!$B$13-C80)),"")</f>
      </c>
      <c r="E80" s="38">
        <f>IF((ROW()-3)&lt;=('首頁'!$B$8*12),G80-D80,"")</f>
      </c>
      <c r="G80" s="39">
        <f>IF((ROW()-3)&lt;=('首頁'!$B$8*12),E79,"")</f>
      </c>
    </row>
    <row r="81" ht="22" customHeight="1" spans="1:7" x14ac:dyDescent="0.25">
      <c r="A81" s="40">
        <f>IF((ROW()-3)&lt;=('首頁'!$B$8*12),ROW()-3,"")</f>
      </c>
      <c r="B81" s="41">
        <f>IF((ROW()-3)&lt;=('首頁'!$B$8*12),C81+D81,"")</f>
      </c>
      <c r="C81" s="42">
        <f>IF((ROW()-3)&lt;=('首頁'!$B$8*12),G81*'首頁'!$B$7/12/100,"")</f>
      </c>
      <c r="D81" s="42">
        <f>IF((ROW()-3)&lt;=('首頁'!$B$8*12),IF(ROW()-3=('首頁'!$B$8*12),G81,MIN(G81,'首頁'!$B$13-C81)),"")</f>
      </c>
      <c r="E81" s="42">
        <f>IF((ROW()-3)&lt;=('首頁'!$B$8*12),G81-D81,"")</f>
      </c>
      <c r="G81" s="39">
        <f>IF((ROW()-3)&lt;=('首頁'!$B$8*12),E80,"")</f>
      </c>
    </row>
    <row r="82" ht="22" customHeight="1" spans="1:7" x14ac:dyDescent="0.25">
      <c r="A82" s="36">
        <f>IF((ROW()-3)&lt;=('首頁'!$B$8*12),ROW()-3,"")</f>
      </c>
      <c r="B82" s="37">
        <f>IF((ROW()-3)&lt;=('首頁'!$B$8*12),C82+D82,"")</f>
      </c>
      <c r="C82" s="38">
        <f>IF((ROW()-3)&lt;=('首頁'!$B$8*12),G82*'首頁'!$B$7/12/100,"")</f>
      </c>
      <c r="D82" s="38">
        <f>IF((ROW()-3)&lt;=('首頁'!$B$8*12),IF(ROW()-3=('首頁'!$B$8*12),G82,MIN(G82,'首頁'!$B$13-C82)),"")</f>
      </c>
      <c r="E82" s="38">
        <f>IF((ROW()-3)&lt;=('首頁'!$B$8*12),G82-D82,"")</f>
      </c>
      <c r="G82" s="39">
        <f>IF((ROW()-3)&lt;=('首頁'!$B$8*12),E81,"")</f>
      </c>
    </row>
    <row r="83" ht="22" customHeight="1" spans="1:7" x14ac:dyDescent="0.25">
      <c r="A83" s="40">
        <f>IF((ROW()-3)&lt;=('首頁'!$B$8*12),ROW()-3,"")</f>
      </c>
      <c r="B83" s="41">
        <f>IF((ROW()-3)&lt;=('首頁'!$B$8*12),C83+D83,"")</f>
      </c>
      <c r="C83" s="42">
        <f>IF((ROW()-3)&lt;=('首頁'!$B$8*12),G83*'首頁'!$B$7/12/100,"")</f>
      </c>
      <c r="D83" s="42">
        <f>IF((ROW()-3)&lt;=('首頁'!$B$8*12),IF(ROW()-3=('首頁'!$B$8*12),G83,MIN(G83,'首頁'!$B$13-C83)),"")</f>
      </c>
      <c r="E83" s="42">
        <f>IF((ROW()-3)&lt;=('首頁'!$B$8*12),G83-D83,"")</f>
      </c>
      <c r="G83" s="39">
        <f>IF((ROW()-3)&lt;=('首頁'!$B$8*12),E82,"")</f>
      </c>
    </row>
    <row r="84" ht="22" customHeight="1" spans="1:7" x14ac:dyDescent="0.25">
      <c r="A84" s="36">
        <f>IF((ROW()-3)&lt;=('首頁'!$B$8*12),ROW()-3,"")</f>
      </c>
      <c r="B84" s="37">
        <f>IF((ROW()-3)&lt;=('首頁'!$B$8*12),C84+D84,"")</f>
      </c>
      <c r="C84" s="38">
        <f>IF((ROW()-3)&lt;=('首頁'!$B$8*12),G84*'首頁'!$B$7/12/100,"")</f>
      </c>
      <c r="D84" s="38">
        <f>IF((ROW()-3)&lt;=('首頁'!$B$8*12),IF(ROW()-3=('首頁'!$B$8*12),G84,MIN(G84,'首頁'!$B$13-C84)),"")</f>
      </c>
      <c r="E84" s="38">
        <f>IF((ROW()-3)&lt;=('首頁'!$B$8*12),G84-D84,"")</f>
      </c>
      <c r="G84" s="39">
        <f>IF((ROW()-3)&lt;=('首頁'!$B$8*12),E83,"")</f>
      </c>
    </row>
    <row r="85" ht="22" customHeight="1" spans="1:7" x14ac:dyDescent="0.25">
      <c r="A85" s="40">
        <f>IF((ROW()-3)&lt;=('首頁'!$B$8*12),ROW()-3,"")</f>
      </c>
      <c r="B85" s="41">
        <f>IF((ROW()-3)&lt;=('首頁'!$B$8*12),C85+D85,"")</f>
      </c>
      <c r="C85" s="42">
        <f>IF((ROW()-3)&lt;=('首頁'!$B$8*12),G85*'首頁'!$B$7/12/100,"")</f>
      </c>
      <c r="D85" s="42">
        <f>IF((ROW()-3)&lt;=('首頁'!$B$8*12),IF(ROW()-3=('首頁'!$B$8*12),G85,MIN(G85,'首頁'!$B$13-C85)),"")</f>
      </c>
      <c r="E85" s="42">
        <f>IF((ROW()-3)&lt;=('首頁'!$B$8*12),G85-D85,"")</f>
      </c>
      <c r="G85" s="39">
        <f>IF((ROW()-3)&lt;=('首頁'!$B$8*12),E84,"")</f>
      </c>
    </row>
    <row r="86" ht="22" customHeight="1" spans="1:7" x14ac:dyDescent="0.25">
      <c r="A86" s="36">
        <f>IF((ROW()-3)&lt;=('首頁'!$B$8*12),ROW()-3,"")</f>
      </c>
      <c r="B86" s="37">
        <f>IF((ROW()-3)&lt;=('首頁'!$B$8*12),C86+D86,"")</f>
      </c>
      <c r="C86" s="38">
        <f>IF((ROW()-3)&lt;=('首頁'!$B$8*12),G86*'首頁'!$B$7/12/100,"")</f>
      </c>
      <c r="D86" s="38">
        <f>IF((ROW()-3)&lt;=('首頁'!$B$8*12),IF(ROW()-3=('首頁'!$B$8*12),G86,MIN(G86,'首頁'!$B$13-C86)),"")</f>
      </c>
      <c r="E86" s="38">
        <f>IF((ROW()-3)&lt;=('首頁'!$B$8*12),G86-D86,"")</f>
      </c>
      <c r="G86" s="39">
        <f>IF((ROW()-3)&lt;=('首頁'!$B$8*12),E85,"")</f>
      </c>
    </row>
    <row r="87" ht="22" customHeight="1" spans="1:7" x14ac:dyDescent="0.25">
      <c r="A87" s="40">
        <f>IF((ROW()-3)&lt;=('首頁'!$B$8*12),ROW()-3,"")</f>
      </c>
      <c r="B87" s="41">
        <f>IF((ROW()-3)&lt;=('首頁'!$B$8*12),C87+D87,"")</f>
      </c>
      <c r="C87" s="42">
        <f>IF((ROW()-3)&lt;=('首頁'!$B$8*12),G87*'首頁'!$B$7/12/100,"")</f>
      </c>
      <c r="D87" s="42">
        <f>IF((ROW()-3)&lt;=('首頁'!$B$8*12),IF(ROW()-3=('首頁'!$B$8*12),G87,MIN(G87,'首頁'!$B$13-C87)),"")</f>
      </c>
      <c r="E87" s="42">
        <f>IF((ROW()-3)&lt;=('首頁'!$B$8*12),G87-D87,"")</f>
      </c>
      <c r="G87" s="39">
        <f>IF((ROW()-3)&lt;=('首頁'!$B$8*12),E86,"")</f>
      </c>
    </row>
    <row r="88" ht="22" customHeight="1" spans="1:7" x14ac:dyDescent="0.25">
      <c r="A88" s="36">
        <f>IF((ROW()-3)&lt;=('首頁'!$B$8*12),ROW()-3,"")</f>
      </c>
      <c r="B88" s="37">
        <f>IF((ROW()-3)&lt;=('首頁'!$B$8*12),C88+D88,"")</f>
      </c>
      <c r="C88" s="38">
        <f>IF((ROW()-3)&lt;=('首頁'!$B$8*12),G88*'首頁'!$B$7/12/100,"")</f>
      </c>
      <c r="D88" s="38">
        <f>IF((ROW()-3)&lt;=('首頁'!$B$8*12),IF(ROW()-3=('首頁'!$B$8*12),G88,MIN(G88,'首頁'!$B$13-C88)),"")</f>
      </c>
      <c r="E88" s="38">
        <f>IF((ROW()-3)&lt;=('首頁'!$B$8*12),G88-D88,"")</f>
      </c>
      <c r="G88" s="39">
        <f>IF((ROW()-3)&lt;=('首頁'!$B$8*12),E87,"")</f>
      </c>
    </row>
    <row r="89" ht="22" customHeight="1" spans="1:7" x14ac:dyDescent="0.25">
      <c r="A89" s="40">
        <f>IF((ROW()-3)&lt;=('首頁'!$B$8*12),ROW()-3,"")</f>
      </c>
      <c r="B89" s="41">
        <f>IF((ROW()-3)&lt;=('首頁'!$B$8*12),C89+D89,"")</f>
      </c>
      <c r="C89" s="42">
        <f>IF((ROW()-3)&lt;=('首頁'!$B$8*12),G89*'首頁'!$B$7/12/100,"")</f>
      </c>
      <c r="D89" s="42">
        <f>IF((ROW()-3)&lt;=('首頁'!$B$8*12),IF(ROW()-3=('首頁'!$B$8*12),G89,MIN(G89,'首頁'!$B$13-C89)),"")</f>
      </c>
      <c r="E89" s="42">
        <f>IF((ROW()-3)&lt;=('首頁'!$B$8*12),G89-D89,"")</f>
      </c>
      <c r="G89" s="39">
        <f>IF((ROW()-3)&lt;=('首頁'!$B$8*12),E88,"")</f>
      </c>
    </row>
    <row r="90" ht="22" customHeight="1" spans="1:7" x14ac:dyDescent="0.25">
      <c r="A90" s="36">
        <f>IF((ROW()-3)&lt;=('首頁'!$B$8*12),ROW()-3,"")</f>
      </c>
      <c r="B90" s="37">
        <f>IF((ROW()-3)&lt;=('首頁'!$B$8*12),C90+D90,"")</f>
      </c>
      <c r="C90" s="38">
        <f>IF((ROW()-3)&lt;=('首頁'!$B$8*12),G90*'首頁'!$B$7/12/100,"")</f>
      </c>
      <c r="D90" s="38">
        <f>IF((ROW()-3)&lt;=('首頁'!$B$8*12),IF(ROW()-3=('首頁'!$B$8*12),G90,MIN(G90,'首頁'!$B$13-C90)),"")</f>
      </c>
      <c r="E90" s="38">
        <f>IF((ROW()-3)&lt;=('首頁'!$B$8*12),G90-D90,"")</f>
      </c>
      <c r="G90" s="39">
        <f>IF((ROW()-3)&lt;=('首頁'!$B$8*12),E89,"")</f>
      </c>
    </row>
    <row r="91" ht="22" customHeight="1" spans="1:7" x14ac:dyDescent="0.25">
      <c r="A91" s="40">
        <f>IF((ROW()-3)&lt;=('首頁'!$B$8*12),ROW()-3,"")</f>
      </c>
      <c r="B91" s="41">
        <f>IF((ROW()-3)&lt;=('首頁'!$B$8*12),C91+D91,"")</f>
      </c>
      <c r="C91" s="42">
        <f>IF((ROW()-3)&lt;=('首頁'!$B$8*12),G91*'首頁'!$B$7/12/100,"")</f>
      </c>
      <c r="D91" s="42">
        <f>IF((ROW()-3)&lt;=('首頁'!$B$8*12),IF(ROW()-3=('首頁'!$B$8*12),G91,MIN(G91,'首頁'!$B$13-C91)),"")</f>
      </c>
      <c r="E91" s="42">
        <f>IF((ROW()-3)&lt;=('首頁'!$B$8*12),G91-D91,"")</f>
      </c>
      <c r="G91" s="39">
        <f>IF((ROW()-3)&lt;=('首頁'!$B$8*12),E90,"")</f>
      </c>
    </row>
    <row r="92" ht="22" customHeight="1" spans="1:7" x14ac:dyDescent="0.25">
      <c r="A92" s="36">
        <f>IF((ROW()-3)&lt;=('首頁'!$B$8*12),ROW()-3,"")</f>
      </c>
      <c r="B92" s="37">
        <f>IF((ROW()-3)&lt;=('首頁'!$B$8*12),C92+D92,"")</f>
      </c>
      <c r="C92" s="38">
        <f>IF((ROW()-3)&lt;=('首頁'!$B$8*12),G92*'首頁'!$B$7/12/100,"")</f>
      </c>
      <c r="D92" s="38">
        <f>IF((ROW()-3)&lt;=('首頁'!$B$8*12),IF(ROW()-3=('首頁'!$B$8*12),G92,MIN(G92,'首頁'!$B$13-C92)),"")</f>
      </c>
      <c r="E92" s="38">
        <f>IF((ROW()-3)&lt;=('首頁'!$B$8*12),G92-D92,"")</f>
      </c>
      <c r="G92" s="39">
        <f>IF((ROW()-3)&lt;=('首頁'!$B$8*12),E91,"")</f>
      </c>
    </row>
    <row r="93" ht="22" customHeight="1" spans="1:7" x14ac:dyDescent="0.25">
      <c r="A93" s="40">
        <f>IF((ROW()-3)&lt;=('首頁'!$B$8*12),ROW()-3,"")</f>
      </c>
      <c r="B93" s="41">
        <f>IF((ROW()-3)&lt;=('首頁'!$B$8*12),C93+D93,"")</f>
      </c>
      <c r="C93" s="42">
        <f>IF((ROW()-3)&lt;=('首頁'!$B$8*12),G93*'首頁'!$B$7/12/100,"")</f>
      </c>
      <c r="D93" s="42">
        <f>IF((ROW()-3)&lt;=('首頁'!$B$8*12),IF(ROW()-3=('首頁'!$B$8*12),G93,MIN(G93,'首頁'!$B$13-C93)),"")</f>
      </c>
      <c r="E93" s="42">
        <f>IF((ROW()-3)&lt;=('首頁'!$B$8*12),G93-D93,"")</f>
      </c>
      <c r="G93" s="39">
        <f>IF((ROW()-3)&lt;=('首頁'!$B$8*12),E92,"")</f>
      </c>
    </row>
    <row r="94" ht="22" customHeight="1" spans="1:7" x14ac:dyDescent="0.25">
      <c r="A94" s="36">
        <f>IF((ROW()-3)&lt;=('首頁'!$B$8*12),ROW()-3,"")</f>
      </c>
      <c r="B94" s="37">
        <f>IF((ROW()-3)&lt;=('首頁'!$B$8*12),C94+D94,"")</f>
      </c>
      <c r="C94" s="38">
        <f>IF((ROW()-3)&lt;=('首頁'!$B$8*12),G94*'首頁'!$B$7/12/100,"")</f>
      </c>
      <c r="D94" s="38">
        <f>IF((ROW()-3)&lt;=('首頁'!$B$8*12),IF(ROW()-3=('首頁'!$B$8*12),G94,MIN(G94,'首頁'!$B$13-C94)),"")</f>
      </c>
      <c r="E94" s="38">
        <f>IF((ROW()-3)&lt;=('首頁'!$B$8*12),G94-D94,"")</f>
      </c>
      <c r="G94" s="39">
        <f>IF((ROW()-3)&lt;=('首頁'!$B$8*12),E93,"")</f>
      </c>
    </row>
    <row r="95" ht="22" customHeight="1" spans="1:7" x14ac:dyDescent="0.25">
      <c r="A95" s="40">
        <f>IF((ROW()-3)&lt;=('首頁'!$B$8*12),ROW()-3,"")</f>
      </c>
      <c r="B95" s="41">
        <f>IF((ROW()-3)&lt;=('首頁'!$B$8*12),C95+D95,"")</f>
      </c>
      <c r="C95" s="42">
        <f>IF((ROW()-3)&lt;=('首頁'!$B$8*12),G95*'首頁'!$B$7/12/100,"")</f>
      </c>
      <c r="D95" s="42">
        <f>IF((ROW()-3)&lt;=('首頁'!$B$8*12),IF(ROW()-3=('首頁'!$B$8*12),G95,MIN(G95,'首頁'!$B$13-C95)),"")</f>
      </c>
      <c r="E95" s="42">
        <f>IF((ROW()-3)&lt;=('首頁'!$B$8*12),G95-D95,"")</f>
      </c>
      <c r="G95" s="39">
        <f>IF((ROW()-3)&lt;=('首頁'!$B$8*12),E94,"")</f>
      </c>
    </row>
    <row r="96" ht="22" customHeight="1" spans="1:7" x14ac:dyDescent="0.25">
      <c r="A96" s="36">
        <f>IF((ROW()-3)&lt;=('首頁'!$B$8*12),ROW()-3,"")</f>
      </c>
      <c r="B96" s="37">
        <f>IF((ROW()-3)&lt;=('首頁'!$B$8*12),C96+D96,"")</f>
      </c>
      <c r="C96" s="38">
        <f>IF((ROW()-3)&lt;=('首頁'!$B$8*12),G96*'首頁'!$B$7/12/100,"")</f>
      </c>
      <c r="D96" s="38">
        <f>IF((ROW()-3)&lt;=('首頁'!$B$8*12),IF(ROW()-3=('首頁'!$B$8*12),G96,MIN(G96,'首頁'!$B$13-C96)),"")</f>
      </c>
      <c r="E96" s="38">
        <f>IF((ROW()-3)&lt;=('首頁'!$B$8*12),G96-D96,"")</f>
      </c>
      <c r="G96" s="39">
        <f>IF((ROW()-3)&lt;=('首頁'!$B$8*12),E95,"")</f>
      </c>
    </row>
    <row r="97" ht="22" customHeight="1" spans="1:7" x14ac:dyDescent="0.25">
      <c r="A97" s="40">
        <f>IF((ROW()-3)&lt;=('首頁'!$B$8*12),ROW()-3,"")</f>
      </c>
      <c r="B97" s="41">
        <f>IF((ROW()-3)&lt;=('首頁'!$B$8*12),C97+D97,"")</f>
      </c>
      <c r="C97" s="42">
        <f>IF((ROW()-3)&lt;=('首頁'!$B$8*12),G97*'首頁'!$B$7/12/100,"")</f>
      </c>
      <c r="D97" s="42">
        <f>IF((ROW()-3)&lt;=('首頁'!$B$8*12),IF(ROW()-3=('首頁'!$B$8*12),G97,MIN(G97,'首頁'!$B$13-C97)),"")</f>
      </c>
      <c r="E97" s="42">
        <f>IF((ROW()-3)&lt;=('首頁'!$B$8*12),G97-D97,"")</f>
      </c>
      <c r="G97" s="39">
        <f>IF((ROW()-3)&lt;=('首頁'!$B$8*12),E96,"")</f>
      </c>
    </row>
    <row r="98" ht="22" customHeight="1" spans="1:7" x14ac:dyDescent="0.25">
      <c r="A98" s="36">
        <f>IF((ROW()-3)&lt;=('首頁'!$B$8*12),ROW()-3,"")</f>
      </c>
      <c r="B98" s="37">
        <f>IF((ROW()-3)&lt;=('首頁'!$B$8*12),C98+D98,"")</f>
      </c>
      <c r="C98" s="38">
        <f>IF((ROW()-3)&lt;=('首頁'!$B$8*12),G98*'首頁'!$B$7/12/100,"")</f>
      </c>
      <c r="D98" s="38">
        <f>IF((ROW()-3)&lt;=('首頁'!$B$8*12),IF(ROW()-3=('首頁'!$B$8*12),G98,MIN(G98,'首頁'!$B$13-C98)),"")</f>
      </c>
      <c r="E98" s="38">
        <f>IF((ROW()-3)&lt;=('首頁'!$B$8*12),G98-D98,"")</f>
      </c>
      <c r="G98" s="39">
        <f>IF((ROW()-3)&lt;=('首頁'!$B$8*12),E97,"")</f>
      </c>
    </row>
    <row r="99" ht="22" customHeight="1" spans="1:7" x14ac:dyDescent="0.25">
      <c r="A99" s="40">
        <f>IF((ROW()-3)&lt;=('首頁'!$B$8*12),ROW()-3,"")</f>
      </c>
      <c r="B99" s="41">
        <f>IF((ROW()-3)&lt;=('首頁'!$B$8*12),C99+D99,"")</f>
      </c>
      <c r="C99" s="42">
        <f>IF((ROW()-3)&lt;=('首頁'!$B$8*12),G99*'首頁'!$B$7/12/100,"")</f>
      </c>
      <c r="D99" s="42">
        <f>IF((ROW()-3)&lt;=('首頁'!$B$8*12),IF(ROW()-3=('首頁'!$B$8*12),G99,MIN(G99,'首頁'!$B$13-C99)),"")</f>
      </c>
      <c r="E99" s="42">
        <f>IF((ROW()-3)&lt;=('首頁'!$B$8*12),G99-D99,"")</f>
      </c>
      <c r="G99" s="39">
        <f>IF((ROW()-3)&lt;=('首頁'!$B$8*12),E98,"")</f>
      </c>
    </row>
    <row r="100" ht="22" customHeight="1" spans="1:7" x14ac:dyDescent="0.25">
      <c r="A100" s="36">
        <f>IF((ROW()-3)&lt;=('首頁'!$B$8*12),ROW()-3,"")</f>
      </c>
      <c r="B100" s="37">
        <f>IF((ROW()-3)&lt;=('首頁'!$B$8*12),C100+D100,"")</f>
      </c>
      <c r="C100" s="38">
        <f>IF((ROW()-3)&lt;=('首頁'!$B$8*12),G100*'首頁'!$B$7/12/100,"")</f>
      </c>
      <c r="D100" s="38">
        <f>IF((ROW()-3)&lt;=('首頁'!$B$8*12),IF(ROW()-3=('首頁'!$B$8*12),G100,MIN(G100,'首頁'!$B$13-C100)),"")</f>
      </c>
      <c r="E100" s="38">
        <f>IF((ROW()-3)&lt;=('首頁'!$B$8*12),G100-D100,"")</f>
      </c>
      <c r="G100" s="39">
        <f>IF((ROW()-3)&lt;=('首頁'!$B$8*12),E99,"")</f>
      </c>
    </row>
    <row r="101" ht="22" customHeight="1" spans="1:7" x14ac:dyDescent="0.25">
      <c r="A101" s="40">
        <f>IF((ROW()-3)&lt;=('首頁'!$B$8*12),ROW()-3,"")</f>
      </c>
      <c r="B101" s="41">
        <f>IF((ROW()-3)&lt;=('首頁'!$B$8*12),C101+D101,"")</f>
      </c>
      <c r="C101" s="42">
        <f>IF((ROW()-3)&lt;=('首頁'!$B$8*12),G101*'首頁'!$B$7/12/100,"")</f>
      </c>
      <c r="D101" s="42">
        <f>IF((ROW()-3)&lt;=('首頁'!$B$8*12),IF(ROW()-3=('首頁'!$B$8*12),G101,MIN(G101,'首頁'!$B$13-C101)),"")</f>
      </c>
      <c r="E101" s="42">
        <f>IF((ROW()-3)&lt;=('首頁'!$B$8*12),G101-D101,"")</f>
      </c>
      <c r="G101" s="39">
        <f>IF((ROW()-3)&lt;=('首頁'!$B$8*12),E100,"")</f>
      </c>
    </row>
    <row r="102" ht="22" customHeight="1" spans="1:7" x14ac:dyDescent="0.25">
      <c r="A102" s="36">
        <f>IF((ROW()-3)&lt;=('首頁'!$B$8*12),ROW()-3,"")</f>
      </c>
      <c r="B102" s="37">
        <f>IF((ROW()-3)&lt;=('首頁'!$B$8*12),C102+D102,"")</f>
      </c>
      <c r="C102" s="38">
        <f>IF((ROW()-3)&lt;=('首頁'!$B$8*12),G102*'首頁'!$B$7/12/100,"")</f>
      </c>
      <c r="D102" s="38">
        <f>IF((ROW()-3)&lt;=('首頁'!$B$8*12),IF(ROW()-3=('首頁'!$B$8*12),G102,MIN(G102,'首頁'!$B$13-C102)),"")</f>
      </c>
      <c r="E102" s="38">
        <f>IF((ROW()-3)&lt;=('首頁'!$B$8*12),G102-D102,"")</f>
      </c>
      <c r="G102" s="39">
        <f>IF((ROW()-3)&lt;=('首頁'!$B$8*12),E101,"")</f>
      </c>
    </row>
    <row r="103" ht="22" customHeight="1" spans="1:7" x14ac:dyDescent="0.25">
      <c r="A103" s="40">
        <f>IF((ROW()-3)&lt;=('首頁'!$B$8*12),ROW()-3,"")</f>
      </c>
      <c r="B103" s="41">
        <f>IF((ROW()-3)&lt;=('首頁'!$B$8*12),C103+D103,"")</f>
      </c>
      <c r="C103" s="42">
        <f>IF((ROW()-3)&lt;=('首頁'!$B$8*12),G103*'首頁'!$B$7/12/100,"")</f>
      </c>
      <c r="D103" s="42">
        <f>IF((ROW()-3)&lt;=('首頁'!$B$8*12),IF(ROW()-3=('首頁'!$B$8*12),G103,MIN(G103,'首頁'!$B$13-C103)),"")</f>
      </c>
      <c r="E103" s="42">
        <f>IF((ROW()-3)&lt;=('首頁'!$B$8*12),G103-D103,"")</f>
      </c>
      <c r="G103" s="39">
        <f>IF((ROW()-3)&lt;=('首頁'!$B$8*12),E102,"")</f>
      </c>
    </row>
    <row r="104" ht="22" customHeight="1" spans="1:7" x14ac:dyDescent="0.25">
      <c r="A104" s="36">
        <f>IF((ROW()-3)&lt;=('首頁'!$B$8*12),ROW()-3,"")</f>
      </c>
      <c r="B104" s="37">
        <f>IF((ROW()-3)&lt;=('首頁'!$B$8*12),C104+D104,"")</f>
      </c>
      <c r="C104" s="38">
        <f>IF((ROW()-3)&lt;=('首頁'!$B$8*12),G104*'首頁'!$B$7/12/100,"")</f>
      </c>
      <c r="D104" s="38">
        <f>IF((ROW()-3)&lt;=('首頁'!$B$8*12),IF(ROW()-3=('首頁'!$B$8*12),G104,MIN(G104,'首頁'!$B$13-C104)),"")</f>
      </c>
      <c r="E104" s="38">
        <f>IF((ROW()-3)&lt;=('首頁'!$B$8*12),G104-D104,"")</f>
      </c>
      <c r="G104" s="39">
        <f>IF((ROW()-3)&lt;=('首頁'!$B$8*12),E103,"")</f>
      </c>
    </row>
    <row r="105" ht="22" customHeight="1" spans="1:7" x14ac:dyDescent="0.25">
      <c r="A105" s="40">
        <f>IF((ROW()-3)&lt;=('首頁'!$B$8*12),ROW()-3,"")</f>
      </c>
      <c r="B105" s="41">
        <f>IF((ROW()-3)&lt;=('首頁'!$B$8*12),C105+D105,"")</f>
      </c>
      <c r="C105" s="42">
        <f>IF((ROW()-3)&lt;=('首頁'!$B$8*12),G105*'首頁'!$B$7/12/100,"")</f>
      </c>
      <c r="D105" s="42">
        <f>IF((ROW()-3)&lt;=('首頁'!$B$8*12),IF(ROW()-3=('首頁'!$B$8*12),G105,MIN(G105,'首頁'!$B$13-C105)),"")</f>
      </c>
      <c r="E105" s="42">
        <f>IF((ROW()-3)&lt;=('首頁'!$B$8*12),G105-D105,"")</f>
      </c>
      <c r="G105" s="39">
        <f>IF((ROW()-3)&lt;=('首頁'!$B$8*12),E104,"")</f>
      </c>
    </row>
    <row r="106" ht="22" customHeight="1" spans="1:7" x14ac:dyDescent="0.25">
      <c r="A106" s="36">
        <f>IF((ROW()-3)&lt;=('首頁'!$B$8*12),ROW()-3,"")</f>
      </c>
      <c r="B106" s="37">
        <f>IF((ROW()-3)&lt;=('首頁'!$B$8*12),C106+D106,"")</f>
      </c>
      <c r="C106" s="38">
        <f>IF((ROW()-3)&lt;=('首頁'!$B$8*12),G106*'首頁'!$B$7/12/100,"")</f>
      </c>
      <c r="D106" s="38">
        <f>IF((ROW()-3)&lt;=('首頁'!$B$8*12),IF(ROW()-3=('首頁'!$B$8*12),G106,MIN(G106,'首頁'!$B$13-C106)),"")</f>
      </c>
      <c r="E106" s="38">
        <f>IF((ROW()-3)&lt;=('首頁'!$B$8*12),G106-D106,"")</f>
      </c>
      <c r="G106" s="39">
        <f>IF((ROW()-3)&lt;=('首頁'!$B$8*12),E105,"")</f>
      </c>
    </row>
    <row r="107" ht="22" customHeight="1" spans="1:7" x14ac:dyDescent="0.25">
      <c r="A107" s="40">
        <f>IF((ROW()-3)&lt;=('首頁'!$B$8*12),ROW()-3,"")</f>
      </c>
      <c r="B107" s="41">
        <f>IF((ROW()-3)&lt;=('首頁'!$B$8*12),C107+D107,"")</f>
      </c>
      <c r="C107" s="42">
        <f>IF((ROW()-3)&lt;=('首頁'!$B$8*12),G107*'首頁'!$B$7/12/100,"")</f>
      </c>
      <c r="D107" s="42">
        <f>IF((ROW()-3)&lt;=('首頁'!$B$8*12),IF(ROW()-3=('首頁'!$B$8*12),G107,MIN(G107,'首頁'!$B$13-C107)),"")</f>
      </c>
      <c r="E107" s="42">
        <f>IF((ROW()-3)&lt;=('首頁'!$B$8*12),G107-D107,"")</f>
      </c>
      <c r="G107" s="39">
        <f>IF((ROW()-3)&lt;=('首頁'!$B$8*12),E106,"")</f>
      </c>
    </row>
    <row r="108" ht="22" customHeight="1" spans="1:7" x14ac:dyDescent="0.25">
      <c r="A108" s="36">
        <f>IF((ROW()-3)&lt;=('首頁'!$B$8*12),ROW()-3,"")</f>
      </c>
      <c r="B108" s="37">
        <f>IF((ROW()-3)&lt;=('首頁'!$B$8*12),C108+D108,"")</f>
      </c>
      <c r="C108" s="38">
        <f>IF((ROW()-3)&lt;=('首頁'!$B$8*12),G108*'首頁'!$B$7/12/100,"")</f>
      </c>
      <c r="D108" s="38">
        <f>IF((ROW()-3)&lt;=('首頁'!$B$8*12),IF(ROW()-3=('首頁'!$B$8*12),G108,MIN(G108,'首頁'!$B$13-C108)),"")</f>
      </c>
      <c r="E108" s="38">
        <f>IF((ROW()-3)&lt;=('首頁'!$B$8*12),G108-D108,"")</f>
      </c>
      <c r="G108" s="39">
        <f>IF((ROW()-3)&lt;=('首頁'!$B$8*12),E107,"")</f>
      </c>
    </row>
    <row r="109" ht="22" customHeight="1" spans="1:7" x14ac:dyDescent="0.25">
      <c r="A109" s="40">
        <f>IF((ROW()-3)&lt;=('首頁'!$B$8*12),ROW()-3,"")</f>
      </c>
      <c r="B109" s="41">
        <f>IF((ROW()-3)&lt;=('首頁'!$B$8*12),C109+D109,"")</f>
      </c>
      <c r="C109" s="42">
        <f>IF((ROW()-3)&lt;=('首頁'!$B$8*12),G109*'首頁'!$B$7/12/100,"")</f>
      </c>
      <c r="D109" s="42">
        <f>IF((ROW()-3)&lt;=('首頁'!$B$8*12),IF(ROW()-3=('首頁'!$B$8*12),G109,MIN(G109,'首頁'!$B$13-C109)),"")</f>
      </c>
      <c r="E109" s="42">
        <f>IF((ROW()-3)&lt;=('首頁'!$B$8*12),G109-D109,"")</f>
      </c>
      <c r="G109" s="39">
        <f>IF((ROW()-3)&lt;=('首頁'!$B$8*12),E108,"")</f>
      </c>
    </row>
    <row r="110" ht="22" customHeight="1" spans="1:7" x14ac:dyDescent="0.25">
      <c r="A110" s="36">
        <f>IF((ROW()-3)&lt;=('首頁'!$B$8*12),ROW()-3,"")</f>
      </c>
      <c r="B110" s="37">
        <f>IF((ROW()-3)&lt;=('首頁'!$B$8*12),C110+D110,"")</f>
      </c>
      <c r="C110" s="38">
        <f>IF((ROW()-3)&lt;=('首頁'!$B$8*12),G110*'首頁'!$B$7/12/100,"")</f>
      </c>
      <c r="D110" s="38">
        <f>IF((ROW()-3)&lt;=('首頁'!$B$8*12),IF(ROW()-3=('首頁'!$B$8*12),G110,MIN(G110,'首頁'!$B$13-C110)),"")</f>
      </c>
      <c r="E110" s="38">
        <f>IF((ROW()-3)&lt;=('首頁'!$B$8*12),G110-D110,"")</f>
      </c>
      <c r="G110" s="39">
        <f>IF((ROW()-3)&lt;=('首頁'!$B$8*12),E109,"")</f>
      </c>
    </row>
    <row r="111" ht="22" customHeight="1" spans="1:7" x14ac:dyDescent="0.25">
      <c r="A111" s="40">
        <f>IF((ROW()-3)&lt;=('首頁'!$B$8*12),ROW()-3,"")</f>
      </c>
      <c r="B111" s="41">
        <f>IF((ROW()-3)&lt;=('首頁'!$B$8*12),C111+D111,"")</f>
      </c>
      <c r="C111" s="42">
        <f>IF((ROW()-3)&lt;=('首頁'!$B$8*12),G111*'首頁'!$B$7/12/100,"")</f>
      </c>
      <c r="D111" s="42">
        <f>IF((ROW()-3)&lt;=('首頁'!$B$8*12),IF(ROW()-3=('首頁'!$B$8*12),G111,MIN(G111,'首頁'!$B$13-C111)),"")</f>
      </c>
      <c r="E111" s="42">
        <f>IF((ROW()-3)&lt;=('首頁'!$B$8*12),G111-D111,"")</f>
      </c>
      <c r="G111" s="39">
        <f>IF((ROW()-3)&lt;=('首頁'!$B$8*12),E110,"")</f>
      </c>
    </row>
    <row r="112" ht="22" customHeight="1" spans="1:7" x14ac:dyDescent="0.25">
      <c r="A112" s="36">
        <f>IF((ROW()-3)&lt;=('首頁'!$B$8*12),ROW()-3,"")</f>
      </c>
      <c r="B112" s="37">
        <f>IF((ROW()-3)&lt;=('首頁'!$B$8*12),C112+D112,"")</f>
      </c>
      <c r="C112" s="38">
        <f>IF((ROW()-3)&lt;=('首頁'!$B$8*12),G112*'首頁'!$B$7/12/100,"")</f>
      </c>
      <c r="D112" s="38">
        <f>IF((ROW()-3)&lt;=('首頁'!$B$8*12),IF(ROW()-3=('首頁'!$B$8*12),G112,MIN(G112,'首頁'!$B$13-C112)),"")</f>
      </c>
      <c r="E112" s="38">
        <f>IF((ROW()-3)&lt;=('首頁'!$B$8*12),G112-D112,"")</f>
      </c>
      <c r="G112" s="39">
        <f>IF((ROW()-3)&lt;=('首頁'!$B$8*12),E111,"")</f>
      </c>
    </row>
    <row r="113" ht="22" customHeight="1" spans="1:7" x14ac:dyDescent="0.25">
      <c r="A113" s="40">
        <f>IF((ROW()-3)&lt;=('首頁'!$B$8*12),ROW()-3,"")</f>
      </c>
      <c r="B113" s="41">
        <f>IF((ROW()-3)&lt;=('首頁'!$B$8*12),C113+D113,"")</f>
      </c>
      <c r="C113" s="42">
        <f>IF((ROW()-3)&lt;=('首頁'!$B$8*12),G113*'首頁'!$B$7/12/100,"")</f>
      </c>
      <c r="D113" s="42">
        <f>IF((ROW()-3)&lt;=('首頁'!$B$8*12),IF(ROW()-3=('首頁'!$B$8*12),G113,MIN(G113,'首頁'!$B$13-C113)),"")</f>
      </c>
      <c r="E113" s="42">
        <f>IF((ROW()-3)&lt;=('首頁'!$B$8*12),G113-D113,"")</f>
      </c>
      <c r="G113" s="39">
        <f>IF((ROW()-3)&lt;=('首頁'!$B$8*12),E112,"")</f>
      </c>
    </row>
    <row r="114" ht="22" customHeight="1" spans="1:7" x14ac:dyDescent="0.25">
      <c r="A114" s="36">
        <f>IF((ROW()-3)&lt;=('首頁'!$B$8*12),ROW()-3,"")</f>
      </c>
      <c r="B114" s="37">
        <f>IF((ROW()-3)&lt;=('首頁'!$B$8*12),C114+D114,"")</f>
      </c>
      <c r="C114" s="38">
        <f>IF((ROW()-3)&lt;=('首頁'!$B$8*12),G114*'首頁'!$B$7/12/100,"")</f>
      </c>
      <c r="D114" s="38">
        <f>IF((ROW()-3)&lt;=('首頁'!$B$8*12),IF(ROW()-3=('首頁'!$B$8*12),G114,MIN(G114,'首頁'!$B$13-C114)),"")</f>
      </c>
      <c r="E114" s="38">
        <f>IF((ROW()-3)&lt;=('首頁'!$B$8*12),G114-D114,"")</f>
      </c>
      <c r="G114" s="39">
        <f>IF((ROW()-3)&lt;=('首頁'!$B$8*12),E113,"")</f>
      </c>
    </row>
    <row r="115" ht="22" customHeight="1" spans="1:7" x14ac:dyDescent="0.25">
      <c r="A115" s="40">
        <f>IF((ROW()-3)&lt;=('首頁'!$B$8*12),ROW()-3,"")</f>
      </c>
      <c r="B115" s="41">
        <f>IF((ROW()-3)&lt;=('首頁'!$B$8*12),C115+D115,"")</f>
      </c>
      <c r="C115" s="42">
        <f>IF((ROW()-3)&lt;=('首頁'!$B$8*12),G115*'首頁'!$B$7/12/100,"")</f>
      </c>
      <c r="D115" s="42">
        <f>IF((ROW()-3)&lt;=('首頁'!$B$8*12),IF(ROW()-3=('首頁'!$B$8*12),G115,MIN(G115,'首頁'!$B$13-C115)),"")</f>
      </c>
      <c r="E115" s="42">
        <f>IF((ROW()-3)&lt;=('首頁'!$B$8*12),G115-D115,"")</f>
      </c>
      <c r="G115" s="39">
        <f>IF((ROW()-3)&lt;=('首頁'!$B$8*12),E114,"")</f>
      </c>
    </row>
    <row r="116" ht="22" customHeight="1" spans="1:7" x14ac:dyDescent="0.25">
      <c r="A116" s="36">
        <f>IF((ROW()-3)&lt;=('首頁'!$B$8*12),ROW()-3,"")</f>
      </c>
      <c r="B116" s="37">
        <f>IF((ROW()-3)&lt;=('首頁'!$B$8*12),C116+D116,"")</f>
      </c>
      <c r="C116" s="38">
        <f>IF((ROW()-3)&lt;=('首頁'!$B$8*12),G116*'首頁'!$B$7/12/100,"")</f>
      </c>
      <c r="D116" s="38">
        <f>IF((ROW()-3)&lt;=('首頁'!$B$8*12),IF(ROW()-3=('首頁'!$B$8*12),G116,MIN(G116,'首頁'!$B$13-C116)),"")</f>
      </c>
      <c r="E116" s="38">
        <f>IF((ROW()-3)&lt;=('首頁'!$B$8*12),G116-D116,"")</f>
      </c>
      <c r="G116" s="39">
        <f>IF((ROW()-3)&lt;=('首頁'!$B$8*12),E115,"")</f>
      </c>
    </row>
    <row r="117" ht="22" customHeight="1" spans="1:7" x14ac:dyDescent="0.25">
      <c r="A117" s="40">
        <f>IF((ROW()-3)&lt;=('首頁'!$B$8*12),ROW()-3,"")</f>
      </c>
      <c r="B117" s="41">
        <f>IF((ROW()-3)&lt;=('首頁'!$B$8*12),C117+D117,"")</f>
      </c>
      <c r="C117" s="42">
        <f>IF((ROW()-3)&lt;=('首頁'!$B$8*12),G117*'首頁'!$B$7/12/100,"")</f>
      </c>
      <c r="D117" s="42">
        <f>IF((ROW()-3)&lt;=('首頁'!$B$8*12),IF(ROW()-3=('首頁'!$B$8*12),G117,MIN(G117,'首頁'!$B$13-C117)),"")</f>
      </c>
      <c r="E117" s="42">
        <f>IF((ROW()-3)&lt;=('首頁'!$B$8*12),G117-D117,"")</f>
      </c>
      <c r="G117" s="39">
        <f>IF((ROW()-3)&lt;=('首頁'!$B$8*12),E116,"")</f>
      </c>
    </row>
    <row r="118" ht="22" customHeight="1" spans="1:7" x14ac:dyDescent="0.25">
      <c r="A118" s="36">
        <f>IF((ROW()-3)&lt;=('首頁'!$B$8*12),ROW()-3,"")</f>
      </c>
      <c r="B118" s="37">
        <f>IF((ROW()-3)&lt;=('首頁'!$B$8*12),C118+D118,"")</f>
      </c>
      <c r="C118" s="38">
        <f>IF((ROW()-3)&lt;=('首頁'!$B$8*12),G118*'首頁'!$B$7/12/100,"")</f>
      </c>
      <c r="D118" s="38">
        <f>IF((ROW()-3)&lt;=('首頁'!$B$8*12),IF(ROW()-3=('首頁'!$B$8*12),G118,MIN(G118,'首頁'!$B$13-C118)),"")</f>
      </c>
      <c r="E118" s="38">
        <f>IF((ROW()-3)&lt;=('首頁'!$B$8*12),G118-D118,"")</f>
      </c>
      <c r="G118" s="39">
        <f>IF((ROW()-3)&lt;=('首頁'!$B$8*12),E117,"")</f>
      </c>
    </row>
    <row r="119" ht="22" customHeight="1" spans="1:7" x14ac:dyDescent="0.25">
      <c r="A119" s="40">
        <f>IF((ROW()-3)&lt;=('首頁'!$B$8*12),ROW()-3,"")</f>
      </c>
      <c r="B119" s="41">
        <f>IF((ROW()-3)&lt;=('首頁'!$B$8*12),C119+D119,"")</f>
      </c>
      <c r="C119" s="42">
        <f>IF((ROW()-3)&lt;=('首頁'!$B$8*12),G119*'首頁'!$B$7/12/100,"")</f>
      </c>
      <c r="D119" s="42">
        <f>IF((ROW()-3)&lt;=('首頁'!$B$8*12),IF(ROW()-3=('首頁'!$B$8*12),G119,MIN(G119,'首頁'!$B$13-C119)),"")</f>
      </c>
      <c r="E119" s="42">
        <f>IF((ROW()-3)&lt;=('首頁'!$B$8*12),G119-D119,"")</f>
      </c>
      <c r="G119" s="39">
        <f>IF((ROW()-3)&lt;=('首頁'!$B$8*12),E118,"")</f>
      </c>
    </row>
    <row r="120" ht="22" customHeight="1" spans="1:7" x14ac:dyDescent="0.25">
      <c r="A120" s="36">
        <f>IF((ROW()-3)&lt;=('首頁'!$B$8*12),ROW()-3,"")</f>
      </c>
      <c r="B120" s="37">
        <f>IF((ROW()-3)&lt;=('首頁'!$B$8*12),C120+D120,"")</f>
      </c>
      <c r="C120" s="38">
        <f>IF((ROW()-3)&lt;=('首頁'!$B$8*12),G120*'首頁'!$B$7/12/100,"")</f>
      </c>
      <c r="D120" s="38">
        <f>IF((ROW()-3)&lt;=('首頁'!$B$8*12),IF(ROW()-3=('首頁'!$B$8*12),G120,MIN(G120,'首頁'!$B$13-C120)),"")</f>
      </c>
      <c r="E120" s="38">
        <f>IF((ROW()-3)&lt;=('首頁'!$B$8*12),G120-D120,"")</f>
      </c>
      <c r="G120" s="39">
        <f>IF((ROW()-3)&lt;=('首頁'!$B$8*12),E119,"")</f>
      </c>
    </row>
    <row r="121" ht="22" customHeight="1" spans="1:7" x14ac:dyDescent="0.25">
      <c r="A121" s="40">
        <f>IF((ROW()-3)&lt;=('首頁'!$B$8*12),ROW()-3,"")</f>
      </c>
      <c r="B121" s="41">
        <f>IF((ROW()-3)&lt;=('首頁'!$B$8*12),C121+D121,"")</f>
      </c>
      <c r="C121" s="42">
        <f>IF((ROW()-3)&lt;=('首頁'!$B$8*12),G121*'首頁'!$B$7/12/100,"")</f>
      </c>
      <c r="D121" s="42">
        <f>IF((ROW()-3)&lt;=('首頁'!$B$8*12),IF(ROW()-3=('首頁'!$B$8*12),G121,MIN(G121,'首頁'!$B$13-C121)),"")</f>
      </c>
      <c r="E121" s="42">
        <f>IF((ROW()-3)&lt;=('首頁'!$B$8*12),G121-D121,"")</f>
      </c>
      <c r="G121" s="39">
        <f>IF((ROW()-3)&lt;=('首頁'!$B$8*12),E120,"")</f>
      </c>
    </row>
    <row r="122" ht="22" customHeight="1" spans="1:7" x14ac:dyDescent="0.25">
      <c r="A122" s="36">
        <f>IF((ROW()-3)&lt;=('首頁'!$B$8*12),ROW()-3,"")</f>
      </c>
      <c r="B122" s="37">
        <f>IF((ROW()-3)&lt;=('首頁'!$B$8*12),C122+D122,"")</f>
      </c>
      <c r="C122" s="38">
        <f>IF((ROW()-3)&lt;=('首頁'!$B$8*12),G122*'首頁'!$B$7/12/100,"")</f>
      </c>
      <c r="D122" s="38">
        <f>IF((ROW()-3)&lt;=('首頁'!$B$8*12),IF(ROW()-3=('首頁'!$B$8*12),G122,MIN(G122,'首頁'!$B$13-C122)),"")</f>
      </c>
      <c r="E122" s="38">
        <f>IF((ROW()-3)&lt;=('首頁'!$B$8*12),G122-D122,"")</f>
      </c>
      <c r="G122" s="39">
        <f>IF((ROW()-3)&lt;=('首頁'!$B$8*12),E121,"")</f>
      </c>
    </row>
    <row r="123" ht="22" customHeight="1" spans="1:7" x14ac:dyDescent="0.25">
      <c r="A123" s="40">
        <f>IF((ROW()-3)&lt;=('首頁'!$B$8*12),ROW()-3,"")</f>
      </c>
      <c r="B123" s="41">
        <f>IF((ROW()-3)&lt;=('首頁'!$B$8*12),C123+D123,"")</f>
      </c>
      <c r="C123" s="42">
        <f>IF((ROW()-3)&lt;=('首頁'!$B$8*12),G123*'首頁'!$B$7/12/100,"")</f>
      </c>
      <c r="D123" s="42">
        <f>IF((ROW()-3)&lt;=('首頁'!$B$8*12),IF(ROW()-3=('首頁'!$B$8*12),G123,MIN(G123,'首頁'!$B$13-C123)),"")</f>
      </c>
      <c r="E123" s="42">
        <f>IF((ROW()-3)&lt;=('首頁'!$B$8*12),G123-D123,"")</f>
      </c>
      <c r="G123" s="39">
        <f>IF((ROW()-3)&lt;=('首頁'!$B$8*12),E122,"")</f>
      </c>
    </row>
    <row r="124" ht="22" customHeight="1" spans="1:7" x14ac:dyDescent="0.25">
      <c r="A124" s="36">
        <f>IF((ROW()-3)&lt;=('首頁'!$B$8*12),ROW()-3,"")</f>
      </c>
      <c r="B124" s="37">
        <f>IF((ROW()-3)&lt;=('首頁'!$B$8*12),C124+D124,"")</f>
      </c>
      <c r="C124" s="38">
        <f>IF((ROW()-3)&lt;=('首頁'!$B$8*12),G124*'首頁'!$B$7/12/100,"")</f>
      </c>
      <c r="D124" s="38">
        <f>IF((ROW()-3)&lt;=('首頁'!$B$8*12),IF(ROW()-3=('首頁'!$B$8*12),G124,MIN(G124,'首頁'!$B$13-C124)),"")</f>
      </c>
      <c r="E124" s="38">
        <f>IF((ROW()-3)&lt;=('首頁'!$B$8*12),G124-D124,"")</f>
      </c>
      <c r="G124" s="39">
        <f>IF((ROW()-3)&lt;=('首頁'!$B$8*12),E123,"")</f>
      </c>
    </row>
    <row r="125" ht="22" customHeight="1" spans="1:7" x14ac:dyDescent="0.25">
      <c r="A125" s="40">
        <f>IF((ROW()-3)&lt;=('首頁'!$B$8*12),ROW()-3,"")</f>
      </c>
      <c r="B125" s="41">
        <f>IF((ROW()-3)&lt;=('首頁'!$B$8*12),C125+D125,"")</f>
      </c>
      <c r="C125" s="42">
        <f>IF((ROW()-3)&lt;=('首頁'!$B$8*12),G125*'首頁'!$B$7/12/100,"")</f>
      </c>
      <c r="D125" s="42">
        <f>IF((ROW()-3)&lt;=('首頁'!$B$8*12),IF(ROW()-3=('首頁'!$B$8*12),G125,MIN(G125,'首頁'!$B$13-C125)),"")</f>
      </c>
      <c r="E125" s="42">
        <f>IF((ROW()-3)&lt;=('首頁'!$B$8*12),G125-D125,"")</f>
      </c>
      <c r="G125" s="39">
        <f>IF((ROW()-3)&lt;=('首頁'!$B$8*12),E124,"")</f>
      </c>
    </row>
    <row r="126" ht="22" customHeight="1" spans="1:7" x14ac:dyDescent="0.25">
      <c r="A126" s="36">
        <f>IF((ROW()-3)&lt;=('首頁'!$B$8*12),ROW()-3,"")</f>
      </c>
      <c r="B126" s="37">
        <f>IF((ROW()-3)&lt;=('首頁'!$B$8*12),C126+D126,"")</f>
      </c>
      <c r="C126" s="38">
        <f>IF((ROW()-3)&lt;=('首頁'!$B$8*12),G126*'首頁'!$B$7/12/100,"")</f>
      </c>
      <c r="D126" s="38">
        <f>IF((ROW()-3)&lt;=('首頁'!$B$8*12),IF(ROW()-3=('首頁'!$B$8*12),G126,MIN(G126,'首頁'!$B$13-C126)),"")</f>
      </c>
      <c r="E126" s="38">
        <f>IF((ROW()-3)&lt;=('首頁'!$B$8*12),G126-D126,"")</f>
      </c>
      <c r="G126" s="39">
        <f>IF((ROW()-3)&lt;=('首頁'!$B$8*12),E125,"")</f>
      </c>
    </row>
    <row r="127" ht="22" customHeight="1" spans="1:7" x14ac:dyDescent="0.25">
      <c r="A127" s="40">
        <f>IF((ROW()-3)&lt;=('首頁'!$B$8*12),ROW()-3,"")</f>
      </c>
      <c r="B127" s="41">
        <f>IF((ROW()-3)&lt;=('首頁'!$B$8*12),C127+D127,"")</f>
      </c>
      <c r="C127" s="42">
        <f>IF((ROW()-3)&lt;=('首頁'!$B$8*12),G127*'首頁'!$B$7/12/100,"")</f>
      </c>
      <c r="D127" s="42">
        <f>IF((ROW()-3)&lt;=('首頁'!$B$8*12),IF(ROW()-3=('首頁'!$B$8*12),G127,MIN(G127,'首頁'!$B$13-C127)),"")</f>
      </c>
      <c r="E127" s="42">
        <f>IF((ROW()-3)&lt;=('首頁'!$B$8*12),G127-D127,"")</f>
      </c>
      <c r="G127" s="39">
        <f>IF((ROW()-3)&lt;=('首頁'!$B$8*12),E126,"")</f>
      </c>
    </row>
    <row r="128" ht="22" customHeight="1" spans="1:7" x14ac:dyDescent="0.25">
      <c r="A128" s="36">
        <f>IF((ROW()-3)&lt;=('首頁'!$B$8*12),ROW()-3,"")</f>
      </c>
      <c r="B128" s="37">
        <f>IF((ROW()-3)&lt;=('首頁'!$B$8*12),C128+D128,"")</f>
      </c>
      <c r="C128" s="38">
        <f>IF((ROW()-3)&lt;=('首頁'!$B$8*12),G128*'首頁'!$B$7/12/100,"")</f>
      </c>
      <c r="D128" s="38">
        <f>IF((ROW()-3)&lt;=('首頁'!$B$8*12),IF(ROW()-3=('首頁'!$B$8*12),G128,MIN(G128,'首頁'!$B$13-C128)),"")</f>
      </c>
      <c r="E128" s="38">
        <f>IF((ROW()-3)&lt;=('首頁'!$B$8*12),G128-D128,"")</f>
      </c>
      <c r="G128" s="39">
        <f>IF((ROW()-3)&lt;=('首頁'!$B$8*12),E127,"")</f>
      </c>
    </row>
    <row r="129" ht="22" customHeight="1" spans="1:7" x14ac:dyDescent="0.25">
      <c r="A129" s="40">
        <f>IF((ROW()-3)&lt;=('首頁'!$B$8*12),ROW()-3,"")</f>
      </c>
      <c r="B129" s="41">
        <f>IF((ROW()-3)&lt;=('首頁'!$B$8*12),C129+D129,"")</f>
      </c>
      <c r="C129" s="42">
        <f>IF((ROW()-3)&lt;=('首頁'!$B$8*12),G129*'首頁'!$B$7/12/100,"")</f>
      </c>
      <c r="D129" s="42">
        <f>IF((ROW()-3)&lt;=('首頁'!$B$8*12),IF(ROW()-3=('首頁'!$B$8*12),G129,MIN(G129,'首頁'!$B$13-C129)),"")</f>
      </c>
      <c r="E129" s="42">
        <f>IF((ROW()-3)&lt;=('首頁'!$B$8*12),G129-D129,"")</f>
      </c>
      <c r="G129" s="39">
        <f>IF((ROW()-3)&lt;=('首頁'!$B$8*12),E128,"")</f>
      </c>
    </row>
    <row r="130" ht="22" customHeight="1" spans="1:7" x14ac:dyDescent="0.25">
      <c r="A130" s="36">
        <f>IF((ROW()-3)&lt;=('首頁'!$B$8*12),ROW()-3,"")</f>
      </c>
      <c r="B130" s="37">
        <f>IF((ROW()-3)&lt;=('首頁'!$B$8*12),C130+D130,"")</f>
      </c>
      <c r="C130" s="38">
        <f>IF((ROW()-3)&lt;=('首頁'!$B$8*12),G130*'首頁'!$B$7/12/100,"")</f>
      </c>
      <c r="D130" s="38">
        <f>IF((ROW()-3)&lt;=('首頁'!$B$8*12),IF(ROW()-3=('首頁'!$B$8*12),G130,MIN(G130,'首頁'!$B$13-C130)),"")</f>
      </c>
      <c r="E130" s="38">
        <f>IF((ROW()-3)&lt;=('首頁'!$B$8*12),G130-D130,"")</f>
      </c>
      <c r="G130" s="39">
        <f>IF((ROW()-3)&lt;=('首頁'!$B$8*12),E129,"")</f>
      </c>
    </row>
    <row r="131" ht="22" customHeight="1" spans="1:7" x14ac:dyDescent="0.25">
      <c r="A131" s="40">
        <f>IF((ROW()-3)&lt;=('首頁'!$B$8*12),ROW()-3,"")</f>
      </c>
      <c r="B131" s="41">
        <f>IF((ROW()-3)&lt;=('首頁'!$B$8*12),C131+D131,"")</f>
      </c>
      <c r="C131" s="42">
        <f>IF((ROW()-3)&lt;=('首頁'!$B$8*12),G131*'首頁'!$B$7/12/100,"")</f>
      </c>
      <c r="D131" s="42">
        <f>IF((ROW()-3)&lt;=('首頁'!$B$8*12),IF(ROW()-3=('首頁'!$B$8*12),G131,MIN(G131,'首頁'!$B$13-C131)),"")</f>
      </c>
      <c r="E131" s="42">
        <f>IF((ROW()-3)&lt;=('首頁'!$B$8*12),G131-D131,"")</f>
      </c>
      <c r="G131" s="39">
        <f>IF((ROW()-3)&lt;=('首頁'!$B$8*12),E130,"")</f>
      </c>
    </row>
    <row r="132" ht="22" customHeight="1" spans="1:7" x14ac:dyDescent="0.25">
      <c r="A132" s="36">
        <f>IF((ROW()-3)&lt;=('首頁'!$B$8*12),ROW()-3,"")</f>
      </c>
      <c r="B132" s="37">
        <f>IF((ROW()-3)&lt;=('首頁'!$B$8*12),C132+D132,"")</f>
      </c>
      <c r="C132" s="38">
        <f>IF((ROW()-3)&lt;=('首頁'!$B$8*12),G132*'首頁'!$B$7/12/100,"")</f>
      </c>
      <c r="D132" s="38">
        <f>IF((ROW()-3)&lt;=('首頁'!$B$8*12),IF(ROW()-3=('首頁'!$B$8*12),G132,MIN(G132,'首頁'!$B$13-C132)),"")</f>
      </c>
      <c r="E132" s="38">
        <f>IF((ROW()-3)&lt;=('首頁'!$B$8*12),G132-D132,"")</f>
      </c>
      <c r="G132" s="39">
        <f>IF((ROW()-3)&lt;=('首頁'!$B$8*12),E131,"")</f>
      </c>
    </row>
    <row r="133" ht="22" customHeight="1" spans="1:7" x14ac:dyDescent="0.25">
      <c r="A133" s="40">
        <f>IF((ROW()-3)&lt;=('首頁'!$B$8*12),ROW()-3,"")</f>
      </c>
      <c r="B133" s="41">
        <f>IF((ROW()-3)&lt;=('首頁'!$B$8*12),C133+D133,"")</f>
      </c>
      <c r="C133" s="42">
        <f>IF((ROW()-3)&lt;=('首頁'!$B$8*12),G133*'首頁'!$B$7/12/100,"")</f>
      </c>
      <c r="D133" s="42">
        <f>IF((ROW()-3)&lt;=('首頁'!$B$8*12),IF(ROW()-3=('首頁'!$B$8*12),G133,MIN(G133,'首頁'!$B$13-C133)),"")</f>
      </c>
      <c r="E133" s="42">
        <f>IF((ROW()-3)&lt;=('首頁'!$B$8*12),G133-D133,"")</f>
      </c>
      <c r="G133" s="39">
        <f>IF((ROW()-3)&lt;=('首頁'!$B$8*12),E132,"")</f>
      </c>
    </row>
    <row r="134" ht="22" customHeight="1" spans="1:7" x14ac:dyDescent="0.25">
      <c r="A134" s="36">
        <f>IF((ROW()-3)&lt;=('首頁'!$B$8*12),ROW()-3,"")</f>
      </c>
      <c r="B134" s="37">
        <f>IF((ROW()-3)&lt;=('首頁'!$B$8*12),C134+D134,"")</f>
      </c>
      <c r="C134" s="38">
        <f>IF((ROW()-3)&lt;=('首頁'!$B$8*12),G134*'首頁'!$B$7/12/100,"")</f>
      </c>
      <c r="D134" s="38">
        <f>IF((ROW()-3)&lt;=('首頁'!$B$8*12),IF(ROW()-3=('首頁'!$B$8*12),G134,MIN(G134,'首頁'!$B$13-C134)),"")</f>
      </c>
      <c r="E134" s="38">
        <f>IF((ROW()-3)&lt;=('首頁'!$B$8*12),G134-D134,"")</f>
      </c>
      <c r="G134" s="39">
        <f>IF((ROW()-3)&lt;=('首頁'!$B$8*12),E133,"")</f>
      </c>
    </row>
    <row r="135" ht="22" customHeight="1" spans="1:7" x14ac:dyDescent="0.25">
      <c r="A135" s="40">
        <f>IF((ROW()-3)&lt;=('首頁'!$B$8*12),ROW()-3,"")</f>
      </c>
      <c r="B135" s="41">
        <f>IF((ROW()-3)&lt;=('首頁'!$B$8*12),C135+D135,"")</f>
      </c>
      <c r="C135" s="42">
        <f>IF((ROW()-3)&lt;=('首頁'!$B$8*12),G135*'首頁'!$B$7/12/100,"")</f>
      </c>
      <c r="D135" s="42">
        <f>IF((ROW()-3)&lt;=('首頁'!$B$8*12),IF(ROW()-3=('首頁'!$B$8*12),G135,MIN(G135,'首頁'!$B$13-C135)),"")</f>
      </c>
      <c r="E135" s="42">
        <f>IF((ROW()-3)&lt;=('首頁'!$B$8*12),G135-D135,"")</f>
      </c>
      <c r="G135" s="39">
        <f>IF((ROW()-3)&lt;=('首頁'!$B$8*12),E134,"")</f>
      </c>
    </row>
    <row r="136" ht="22" customHeight="1" spans="1:7" x14ac:dyDescent="0.25">
      <c r="A136" s="36">
        <f>IF((ROW()-3)&lt;=('首頁'!$B$8*12),ROW()-3,"")</f>
      </c>
      <c r="B136" s="37">
        <f>IF((ROW()-3)&lt;=('首頁'!$B$8*12),C136+D136,"")</f>
      </c>
      <c r="C136" s="38">
        <f>IF((ROW()-3)&lt;=('首頁'!$B$8*12),G136*'首頁'!$B$7/12/100,"")</f>
      </c>
      <c r="D136" s="38">
        <f>IF((ROW()-3)&lt;=('首頁'!$B$8*12),IF(ROW()-3=('首頁'!$B$8*12),G136,MIN(G136,'首頁'!$B$13-C136)),"")</f>
      </c>
      <c r="E136" s="38">
        <f>IF((ROW()-3)&lt;=('首頁'!$B$8*12),G136-D136,"")</f>
      </c>
      <c r="G136" s="39">
        <f>IF((ROW()-3)&lt;=('首頁'!$B$8*12),E135,"")</f>
      </c>
    </row>
    <row r="137" ht="22" customHeight="1" spans="1:7" x14ac:dyDescent="0.25">
      <c r="A137" s="40">
        <f>IF((ROW()-3)&lt;=('首頁'!$B$8*12),ROW()-3,"")</f>
      </c>
      <c r="B137" s="41">
        <f>IF((ROW()-3)&lt;=('首頁'!$B$8*12),C137+D137,"")</f>
      </c>
      <c r="C137" s="42">
        <f>IF((ROW()-3)&lt;=('首頁'!$B$8*12),G137*'首頁'!$B$7/12/100,"")</f>
      </c>
      <c r="D137" s="42">
        <f>IF((ROW()-3)&lt;=('首頁'!$B$8*12),IF(ROW()-3=('首頁'!$B$8*12),G137,MIN(G137,'首頁'!$B$13-C137)),"")</f>
      </c>
      <c r="E137" s="42">
        <f>IF((ROW()-3)&lt;=('首頁'!$B$8*12),G137-D137,"")</f>
      </c>
      <c r="G137" s="39">
        <f>IF((ROW()-3)&lt;=('首頁'!$B$8*12),E136,"")</f>
      </c>
    </row>
    <row r="138" ht="22" customHeight="1" spans="1:7" x14ac:dyDescent="0.25">
      <c r="A138" s="36">
        <f>IF((ROW()-3)&lt;=('首頁'!$B$8*12),ROW()-3,"")</f>
      </c>
      <c r="B138" s="37">
        <f>IF((ROW()-3)&lt;=('首頁'!$B$8*12),C138+D138,"")</f>
      </c>
      <c r="C138" s="38">
        <f>IF((ROW()-3)&lt;=('首頁'!$B$8*12),G138*'首頁'!$B$7/12/100,"")</f>
      </c>
      <c r="D138" s="38">
        <f>IF((ROW()-3)&lt;=('首頁'!$B$8*12),IF(ROW()-3=('首頁'!$B$8*12),G138,MIN(G138,'首頁'!$B$13-C138)),"")</f>
      </c>
      <c r="E138" s="38">
        <f>IF((ROW()-3)&lt;=('首頁'!$B$8*12),G138-D138,"")</f>
      </c>
      <c r="G138" s="39">
        <f>IF((ROW()-3)&lt;=('首頁'!$B$8*12),E137,"")</f>
      </c>
    </row>
    <row r="139" ht="22" customHeight="1" spans="1:7" x14ac:dyDescent="0.25">
      <c r="A139" s="40">
        <f>IF((ROW()-3)&lt;=('首頁'!$B$8*12),ROW()-3,"")</f>
      </c>
      <c r="B139" s="41">
        <f>IF((ROW()-3)&lt;=('首頁'!$B$8*12),C139+D139,"")</f>
      </c>
      <c r="C139" s="42">
        <f>IF((ROW()-3)&lt;=('首頁'!$B$8*12),G139*'首頁'!$B$7/12/100,"")</f>
      </c>
      <c r="D139" s="42">
        <f>IF((ROW()-3)&lt;=('首頁'!$B$8*12),IF(ROW()-3=('首頁'!$B$8*12),G139,MIN(G139,'首頁'!$B$13-C139)),"")</f>
      </c>
      <c r="E139" s="42">
        <f>IF((ROW()-3)&lt;=('首頁'!$B$8*12),G139-D139,"")</f>
      </c>
      <c r="G139" s="39">
        <f>IF((ROW()-3)&lt;=('首頁'!$B$8*12),E138,"")</f>
      </c>
    </row>
    <row r="140" ht="22" customHeight="1" spans="1:7" x14ac:dyDescent="0.25">
      <c r="A140" s="36">
        <f>IF((ROW()-3)&lt;=('首頁'!$B$8*12),ROW()-3,"")</f>
      </c>
      <c r="B140" s="37">
        <f>IF((ROW()-3)&lt;=('首頁'!$B$8*12),C140+D140,"")</f>
      </c>
      <c r="C140" s="38">
        <f>IF((ROW()-3)&lt;=('首頁'!$B$8*12),G140*'首頁'!$B$7/12/100,"")</f>
      </c>
      <c r="D140" s="38">
        <f>IF((ROW()-3)&lt;=('首頁'!$B$8*12),IF(ROW()-3=('首頁'!$B$8*12),G140,MIN(G140,'首頁'!$B$13-C140)),"")</f>
      </c>
      <c r="E140" s="38">
        <f>IF((ROW()-3)&lt;=('首頁'!$B$8*12),G140-D140,"")</f>
      </c>
      <c r="G140" s="39">
        <f>IF((ROW()-3)&lt;=('首頁'!$B$8*12),E139,"")</f>
      </c>
    </row>
    <row r="141" ht="22" customHeight="1" spans="1:7" x14ac:dyDescent="0.25">
      <c r="A141" s="40">
        <f>IF((ROW()-3)&lt;=('首頁'!$B$8*12),ROW()-3,"")</f>
      </c>
      <c r="B141" s="41">
        <f>IF((ROW()-3)&lt;=('首頁'!$B$8*12),C141+D141,"")</f>
      </c>
      <c r="C141" s="42">
        <f>IF((ROW()-3)&lt;=('首頁'!$B$8*12),G141*'首頁'!$B$7/12/100,"")</f>
      </c>
      <c r="D141" s="42">
        <f>IF((ROW()-3)&lt;=('首頁'!$B$8*12),IF(ROW()-3=('首頁'!$B$8*12),G141,MIN(G141,'首頁'!$B$13-C141)),"")</f>
      </c>
      <c r="E141" s="42">
        <f>IF((ROW()-3)&lt;=('首頁'!$B$8*12),G141-D141,"")</f>
      </c>
      <c r="G141" s="39">
        <f>IF((ROW()-3)&lt;=('首頁'!$B$8*12),E140,"")</f>
      </c>
    </row>
    <row r="142" ht="22" customHeight="1" spans="1:7" x14ac:dyDescent="0.25">
      <c r="A142" s="36">
        <f>IF((ROW()-3)&lt;=('首頁'!$B$8*12),ROW()-3,"")</f>
      </c>
      <c r="B142" s="37">
        <f>IF((ROW()-3)&lt;=('首頁'!$B$8*12),C142+D142,"")</f>
      </c>
      <c r="C142" s="38">
        <f>IF((ROW()-3)&lt;=('首頁'!$B$8*12),G142*'首頁'!$B$7/12/100,"")</f>
      </c>
      <c r="D142" s="38">
        <f>IF((ROW()-3)&lt;=('首頁'!$B$8*12),IF(ROW()-3=('首頁'!$B$8*12),G142,MIN(G142,'首頁'!$B$13-C142)),"")</f>
      </c>
      <c r="E142" s="38">
        <f>IF((ROW()-3)&lt;=('首頁'!$B$8*12),G142-D142,"")</f>
      </c>
      <c r="G142" s="39">
        <f>IF((ROW()-3)&lt;=('首頁'!$B$8*12),E141,"")</f>
      </c>
    </row>
    <row r="143" ht="22" customHeight="1" spans="1:7" x14ac:dyDescent="0.25">
      <c r="A143" s="40">
        <f>IF((ROW()-3)&lt;=('首頁'!$B$8*12),ROW()-3,"")</f>
      </c>
      <c r="B143" s="41">
        <f>IF((ROW()-3)&lt;=('首頁'!$B$8*12),C143+D143,"")</f>
      </c>
      <c r="C143" s="42">
        <f>IF((ROW()-3)&lt;=('首頁'!$B$8*12),G143*'首頁'!$B$7/12/100,"")</f>
      </c>
      <c r="D143" s="42">
        <f>IF((ROW()-3)&lt;=('首頁'!$B$8*12),IF(ROW()-3=('首頁'!$B$8*12),G143,MIN(G143,'首頁'!$B$13-C143)),"")</f>
      </c>
      <c r="E143" s="42">
        <f>IF((ROW()-3)&lt;=('首頁'!$B$8*12),G143-D143,"")</f>
      </c>
      <c r="G143" s="39">
        <f>IF((ROW()-3)&lt;=('首頁'!$B$8*12),E142,"")</f>
      </c>
    </row>
    <row r="144" ht="22" customHeight="1" spans="1:7" x14ac:dyDescent="0.25">
      <c r="A144" s="36">
        <f>IF((ROW()-3)&lt;=('首頁'!$B$8*12),ROW()-3,"")</f>
      </c>
      <c r="B144" s="37">
        <f>IF((ROW()-3)&lt;=('首頁'!$B$8*12),C144+D144,"")</f>
      </c>
      <c r="C144" s="38">
        <f>IF((ROW()-3)&lt;=('首頁'!$B$8*12),G144*'首頁'!$B$7/12/100,"")</f>
      </c>
      <c r="D144" s="38">
        <f>IF((ROW()-3)&lt;=('首頁'!$B$8*12),IF(ROW()-3=('首頁'!$B$8*12),G144,MIN(G144,'首頁'!$B$13-C144)),"")</f>
      </c>
      <c r="E144" s="38">
        <f>IF((ROW()-3)&lt;=('首頁'!$B$8*12),G144-D144,"")</f>
      </c>
      <c r="G144" s="39">
        <f>IF((ROW()-3)&lt;=('首頁'!$B$8*12),E143,"")</f>
      </c>
    </row>
    <row r="145" ht="22" customHeight="1" spans="1:7" x14ac:dyDescent="0.25">
      <c r="A145" s="40">
        <f>IF((ROW()-3)&lt;=('首頁'!$B$8*12),ROW()-3,"")</f>
      </c>
      <c r="B145" s="41">
        <f>IF((ROW()-3)&lt;=('首頁'!$B$8*12),C145+D145,"")</f>
      </c>
      <c r="C145" s="42">
        <f>IF((ROW()-3)&lt;=('首頁'!$B$8*12),G145*'首頁'!$B$7/12/100,"")</f>
      </c>
      <c r="D145" s="42">
        <f>IF((ROW()-3)&lt;=('首頁'!$B$8*12),IF(ROW()-3=('首頁'!$B$8*12),G145,MIN(G145,'首頁'!$B$13-C145)),"")</f>
      </c>
      <c r="E145" s="42">
        <f>IF((ROW()-3)&lt;=('首頁'!$B$8*12),G145-D145,"")</f>
      </c>
      <c r="G145" s="39">
        <f>IF((ROW()-3)&lt;=('首頁'!$B$8*12),E144,"")</f>
      </c>
    </row>
    <row r="146" ht="22" customHeight="1" spans="1:7" x14ac:dyDescent="0.25">
      <c r="A146" s="36">
        <f>IF((ROW()-3)&lt;=('首頁'!$B$8*12),ROW()-3,"")</f>
      </c>
      <c r="B146" s="37">
        <f>IF((ROW()-3)&lt;=('首頁'!$B$8*12),C146+D146,"")</f>
      </c>
      <c r="C146" s="38">
        <f>IF((ROW()-3)&lt;=('首頁'!$B$8*12),G146*'首頁'!$B$7/12/100,"")</f>
      </c>
      <c r="D146" s="38">
        <f>IF((ROW()-3)&lt;=('首頁'!$B$8*12),IF(ROW()-3=('首頁'!$B$8*12),G146,MIN(G146,'首頁'!$B$13-C146)),"")</f>
      </c>
      <c r="E146" s="38">
        <f>IF((ROW()-3)&lt;=('首頁'!$B$8*12),G146-D146,"")</f>
      </c>
      <c r="G146" s="39">
        <f>IF((ROW()-3)&lt;=('首頁'!$B$8*12),E145,"")</f>
      </c>
    </row>
    <row r="147" ht="22" customHeight="1" spans="1:7" x14ac:dyDescent="0.25">
      <c r="A147" s="40">
        <f>IF((ROW()-3)&lt;=('首頁'!$B$8*12),ROW()-3,"")</f>
      </c>
      <c r="B147" s="41">
        <f>IF((ROW()-3)&lt;=('首頁'!$B$8*12),C147+D147,"")</f>
      </c>
      <c r="C147" s="42">
        <f>IF((ROW()-3)&lt;=('首頁'!$B$8*12),G147*'首頁'!$B$7/12/100,"")</f>
      </c>
      <c r="D147" s="42">
        <f>IF((ROW()-3)&lt;=('首頁'!$B$8*12),IF(ROW()-3=('首頁'!$B$8*12),G147,MIN(G147,'首頁'!$B$13-C147)),"")</f>
      </c>
      <c r="E147" s="42">
        <f>IF((ROW()-3)&lt;=('首頁'!$B$8*12),G147-D147,"")</f>
      </c>
      <c r="G147" s="39">
        <f>IF((ROW()-3)&lt;=('首頁'!$B$8*12),E146,"")</f>
      </c>
    </row>
    <row r="148" ht="22" customHeight="1" spans="1:7" x14ac:dyDescent="0.25">
      <c r="A148" s="36">
        <f>IF((ROW()-3)&lt;=('首頁'!$B$8*12),ROW()-3,"")</f>
      </c>
      <c r="B148" s="37">
        <f>IF((ROW()-3)&lt;=('首頁'!$B$8*12),C148+D148,"")</f>
      </c>
      <c r="C148" s="38">
        <f>IF((ROW()-3)&lt;=('首頁'!$B$8*12),G148*'首頁'!$B$7/12/100,"")</f>
      </c>
      <c r="D148" s="38">
        <f>IF((ROW()-3)&lt;=('首頁'!$B$8*12),IF(ROW()-3=('首頁'!$B$8*12),G148,MIN(G148,'首頁'!$B$13-C148)),"")</f>
      </c>
      <c r="E148" s="38">
        <f>IF((ROW()-3)&lt;=('首頁'!$B$8*12),G148-D148,"")</f>
      </c>
      <c r="G148" s="39">
        <f>IF((ROW()-3)&lt;=('首頁'!$B$8*12),E147,"")</f>
      </c>
    </row>
    <row r="149" ht="22" customHeight="1" spans="1:7" x14ac:dyDescent="0.25">
      <c r="A149" s="40">
        <f>IF((ROW()-3)&lt;=('首頁'!$B$8*12),ROW()-3,"")</f>
      </c>
      <c r="B149" s="41">
        <f>IF((ROW()-3)&lt;=('首頁'!$B$8*12),C149+D149,"")</f>
      </c>
      <c r="C149" s="42">
        <f>IF((ROW()-3)&lt;=('首頁'!$B$8*12),G149*'首頁'!$B$7/12/100,"")</f>
      </c>
      <c r="D149" s="42">
        <f>IF((ROW()-3)&lt;=('首頁'!$B$8*12),IF(ROW()-3=('首頁'!$B$8*12),G149,MIN(G149,'首頁'!$B$13-C149)),"")</f>
      </c>
      <c r="E149" s="42">
        <f>IF((ROW()-3)&lt;=('首頁'!$B$8*12),G149-D149,"")</f>
      </c>
      <c r="G149" s="39">
        <f>IF((ROW()-3)&lt;=('首頁'!$B$8*12),E148,"")</f>
      </c>
    </row>
    <row r="150" ht="22" customHeight="1" spans="1:7" x14ac:dyDescent="0.25">
      <c r="A150" s="36">
        <f>IF((ROW()-3)&lt;=('首頁'!$B$8*12),ROW()-3,"")</f>
      </c>
      <c r="B150" s="37">
        <f>IF((ROW()-3)&lt;=('首頁'!$B$8*12),C150+D150,"")</f>
      </c>
      <c r="C150" s="38">
        <f>IF((ROW()-3)&lt;=('首頁'!$B$8*12),G150*'首頁'!$B$7/12/100,"")</f>
      </c>
      <c r="D150" s="38">
        <f>IF((ROW()-3)&lt;=('首頁'!$B$8*12),IF(ROW()-3=('首頁'!$B$8*12),G150,MIN(G150,'首頁'!$B$13-C150)),"")</f>
      </c>
      <c r="E150" s="38">
        <f>IF((ROW()-3)&lt;=('首頁'!$B$8*12),G150-D150,"")</f>
      </c>
      <c r="G150" s="39">
        <f>IF((ROW()-3)&lt;=('首頁'!$B$8*12),E149,"")</f>
      </c>
    </row>
    <row r="151" ht="22" customHeight="1" spans="1:7" x14ac:dyDescent="0.25">
      <c r="A151" s="40">
        <f>IF((ROW()-3)&lt;=('首頁'!$B$8*12),ROW()-3,"")</f>
      </c>
      <c r="B151" s="41">
        <f>IF((ROW()-3)&lt;=('首頁'!$B$8*12),C151+D151,"")</f>
      </c>
      <c r="C151" s="42">
        <f>IF((ROW()-3)&lt;=('首頁'!$B$8*12),G151*'首頁'!$B$7/12/100,"")</f>
      </c>
      <c r="D151" s="42">
        <f>IF((ROW()-3)&lt;=('首頁'!$B$8*12),IF(ROW()-3=('首頁'!$B$8*12),G151,MIN(G151,'首頁'!$B$13-C151)),"")</f>
      </c>
      <c r="E151" s="42">
        <f>IF((ROW()-3)&lt;=('首頁'!$B$8*12),G151-D151,"")</f>
      </c>
      <c r="G151" s="39">
        <f>IF((ROW()-3)&lt;=('首頁'!$B$8*12),E150,"")</f>
      </c>
    </row>
    <row r="152" ht="22" customHeight="1" spans="1:7" x14ac:dyDescent="0.25">
      <c r="A152" s="36">
        <f>IF((ROW()-3)&lt;=('首頁'!$B$8*12),ROW()-3,"")</f>
      </c>
      <c r="B152" s="37">
        <f>IF((ROW()-3)&lt;=('首頁'!$B$8*12),C152+D152,"")</f>
      </c>
      <c r="C152" s="38">
        <f>IF((ROW()-3)&lt;=('首頁'!$B$8*12),G152*'首頁'!$B$7/12/100,"")</f>
      </c>
      <c r="D152" s="38">
        <f>IF((ROW()-3)&lt;=('首頁'!$B$8*12),IF(ROW()-3=('首頁'!$B$8*12),G152,MIN(G152,'首頁'!$B$13-C152)),"")</f>
      </c>
      <c r="E152" s="38">
        <f>IF((ROW()-3)&lt;=('首頁'!$B$8*12),G152-D152,"")</f>
      </c>
      <c r="G152" s="39">
        <f>IF((ROW()-3)&lt;=('首頁'!$B$8*12),E151,"")</f>
      </c>
    </row>
    <row r="153" ht="22" customHeight="1" spans="1:7" x14ac:dyDescent="0.25">
      <c r="A153" s="40">
        <f>IF((ROW()-3)&lt;=('首頁'!$B$8*12),ROW()-3,"")</f>
      </c>
      <c r="B153" s="41">
        <f>IF((ROW()-3)&lt;=('首頁'!$B$8*12),C153+D153,"")</f>
      </c>
      <c r="C153" s="42">
        <f>IF((ROW()-3)&lt;=('首頁'!$B$8*12),G153*'首頁'!$B$7/12/100,"")</f>
      </c>
      <c r="D153" s="42">
        <f>IF((ROW()-3)&lt;=('首頁'!$B$8*12),IF(ROW()-3=('首頁'!$B$8*12),G153,MIN(G153,'首頁'!$B$13-C153)),"")</f>
      </c>
      <c r="E153" s="42">
        <f>IF((ROW()-3)&lt;=('首頁'!$B$8*12),G153-D153,"")</f>
      </c>
      <c r="G153" s="39">
        <f>IF((ROW()-3)&lt;=('首頁'!$B$8*12),E152,"")</f>
      </c>
    </row>
    <row r="154" ht="22" customHeight="1" spans="1:7" x14ac:dyDescent="0.25">
      <c r="A154" s="36">
        <f>IF((ROW()-3)&lt;=('首頁'!$B$8*12),ROW()-3,"")</f>
      </c>
      <c r="B154" s="37">
        <f>IF((ROW()-3)&lt;=('首頁'!$B$8*12),C154+D154,"")</f>
      </c>
      <c r="C154" s="38">
        <f>IF((ROW()-3)&lt;=('首頁'!$B$8*12),G154*'首頁'!$B$7/12/100,"")</f>
      </c>
      <c r="D154" s="38">
        <f>IF((ROW()-3)&lt;=('首頁'!$B$8*12),IF(ROW()-3=('首頁'!$B$8*12),G154,MIN(G154,'首頁'!$B$13-C154)),"")</f>
      </c>
      <c r="E154" s="38">
        <f>IF((ROW()-3)&lt;=('首頁'!$B$8*12),G154-D154,"")</f>
      </c>
      <c r="G154" s="39">
        <f>IF((ROW()-3)&lt;=('首頁'!$B$8*12),E153,"")</f>
      </c>
    </row>
    <row r="155" ht="22" customHeight="1" spans="1:7" x14ac:dyDescent="0.25">
      <c r="A155" s="40">
        <f>IF((ROW()-3)&lt;=('首頁'!$B$8*12),ROW()-3,"")</f>
      </c>
      <c r="B155" s="41">
        <f>IF((ROW()-3)&lt;=('首頁'!$B$8*12),C155+D155,"")</f>
      </c>
      <c r="C155" s="42">
        <f>IF((ROW()-3)&lt;=('首頁'!$B$8*12),G155*'首頁'!$B$7/12/100,"")</f>
      </c>
      <c r="D155" s="42">
        <f>IF((ROW()-3)&lt;=('首頁'!$B$8*12),IF(ROW()-3=('首頁'!$B$8*12),G155,MIN(G155,'首頁'!$B$13-C155)),"")</f>
      </c>
      <c r="E155" s="42">
        <f>IF((ROW()-3)&lt;=('首頁'!$B$8*12),G155-D155,"")</f>
      </c>
      <c r="G155" s="39">
        <f>IF((ROW()-3)&lt;=('首頁'!$B$8*12),E154,"")</f>
      </c>
    </row>
    <row r="156" ht="22" customHeight="1" spans="1:7" x14ac:dyDescent="0.25">
      <c r="A156" s="36">
        <f>IF((ROW()-3)&lt;=('首頁'!$B$8*12),ROW()-3,"")</f>
      </c>
      <c r="B156" s="37">
        <f>IF((ROW()-3)&lt;=('首頁'!$B$8*12),C156+D156,"")</f>
      </c>
      <c r="C156" s="38">
        <f>IF((ROW()-3)&lt;=('首頁'!$B$8*12),G156*'首頁'!$B$7/12/100,"")</f>
      </c>
      <c r="D156" s="38">
        <f>IF((ROW()-3)&lt;=('首頁'!$B$8*12),IF(ROW()-3=('首頁'!$B$8*12),G156,MIN(G156,'首頁'!$B$13-C156)),"")</f>
      </c>
      <c r="E156" s="38">
        <f>IF((ROW()-3)&lt;=('首頁'!$B$8*12),G156-D156,"")</f>
      </c>
      <c r="G156" s="39">
        <f>IF((ROW()-3)&lt;=('首頁'!$B$8*12),E155,"")</f>
      </c>
    </row>
    <row r="157" ht="22" customHeight="1" spans="1:7" x14ac:dyDescent="0.25">
      <c r="A157" s="40">
        <f>IF((ROW()-3)&lt;=('首頁'!$B$8*12),ROW()-3,"")</f>
      </c>
      <c r="B157" s="41">
        <f>IF((ROW()-3)&lt;=('首頁'!$B$8*12),C157+D157,"")</f>
      </c>
      <c r="C157" s="42">
        <f>IF((ROW()-3)&lt;=('首頁'!$B$8*12),G157*'首頁'!$B$7/12/100,"")</f>
      </c>
      <c r="D157" s="42">
        <f>IF((ROW()-3)&lt;=('首頁'!$B$8*12),IF(ROW()-3=('首頁'!$B$8*12),G157,MIN(G157,'首頁'!$B$13-C157)),"")</f>
      </c>
      <c r="E157" s="42">
        <f>IF((ROW()-3)&lt;=('首頁'!$B$8*12),G157-D157,"")</f>
      </c>
      <c r="G157" s="39">
        <f>IF((ROW()-3)&lt;=('首頁'!$B$8*12),E156,"")</f>
      </c>
    </row>
    <row r="158" ht="22" customHeight="1" spans="1:7" x14ac:dyDescent="0.25">
      <c r="A158" s="36">
        <f>IF((ROW()-3)&lt;=('首頁'!$B$8*12),ROW()-3,"")</f>
      </c>
      <c r="B158" s="37">
        <f>IF((ROW()-3)&lt;=('首頁'!$B$8*12),C158+D158,"")</f>
      </c>
      <c r="C158" s="38">
        <f>IF((ROW()-3)&lt;=('首頁'!$B$8*12),G158*'首頁'!$B$7/12/100,"")</f>
      </c>
      <c r="D158" s="38">
        <f>IF((ROW()-3)&lt;=('首頁'!$B$8*12),IF(ROW()-3=('首頁'!$B$8*12),G158,MIN(G158,'首頁'!$B$13-C158)),"")</f>
      </c>
      <c r="E158" s="38">
        <f>IF((ROW()-3)&lt;=('首頁'!$B$8*12),G158-D158,"")</f>
      </c>
      <c r="G158" s="39">
        <f>IF((ROW()-3)&lt;=('首頁'!$B$8*12),E157,"")</f>
      </c>
    </row>
    <row r="159" ht="22" customHeight="1" spans="1:7" x14ac:dyDescent="0.25">
      <c r="A159" s="40">
        <f>IF((ROW()-3)&lt;=('首頁'!$B$8*12),ROW()-3,"")</f>
      </c>
      <c r="B159" s="41">
        <f>IF((ROW()-3)&lt;=('首頁'!$B$8*12),C159+D159,"")</f>
      </c>
      <c r="C159" s="42">
        <f>IF((ROW()-3)&lt;=('首頁'!$B$8*12),G159*'首頁'!$B$7/12/100,"")</f>
      </c>
      <c r="D159" s="42">
        <f>IF((ROW()-3)&lt;=('首頁'!$B$8*12),IF(ROW()-3=('首頁'!$B$8*12),G159,MIN(G159,'首頁'!$B$13-C159)),"")</f>
      </c>
      <c r="E159" s="42">
        <f>IF((ROW()-3)&lt;=('首頁'!$B$8*12),G159-D159,"")</f>
      </c>
      <c r="G159" s="39">
        <f>IF((ROW()-3)&lt;=('首頁'!$B$8*12),E158,"")</f>
      </c>
    </row>
    <row r="160" ht="22" customHeight="1" spans="1:7" x14ac:dyDescent="0.25">
      <c r="A160" s="36">
        <f>IF((ROW()-3)&lt;=('首頁'!$B$8*12),ROW()-3,"")</f>
      </c>
      <c r="B160" s="37">
        <f>IF((ROW()-3)&lt;=('首頁'!$B$8*12),C160+D160,"")</f>
      </c>
      <c r="C160" s="38">
        <f>IF((ROW()-3)&lt;=('首頁'!$B$8*12),G160*'首頁'!$B$7/12/100,"")</f>
      </c>
      <c r="D160" s="38">
        <f>IF((ROW()-3)&lt;=('首頁'!$B$8*12),IF(ROW()-3=('首頁'!$B$8*12),G160,MIN(G160,'首頁'!$B$13-C160)),"")</f>
      </c>
      <c r="E160" s="38">
        <f>IF((ROW()-3)&lt;=('首頁'!$B$8*12),G160-D160,"")</f>
      </c>
      <c r="G160" s="39">
        <f>IF((ROW()-3)&lt;=('首頁'!$B$8*12),E159,"")</f>
      </c>
    </row>
    <row r="161" ht="22" customHeight="1" spans="1:7" x14ac:dyDescent="0.25">
      <c r="A161" s="40">
        <f>IF((ROW()-3)&lt;=('首頁'!$B$8*12),ROW()-3,"")</f>
      </c>
      <c r="B161" s="41">
        <f>IF((ROW()-3)&lt;=('首頁'!$B$8*12),C161+D161,"")</f>
      </c>
      <c r="C161" s="42">
        <f>IF((ROW()-3)&lt;=('首頁'!$B$8*12),G161*'首頁'!$B$7/12/100,"")</f>
      </c>
      <c r="D161" s="42">
        <f>IF((ROW()-3)&lt;=('首頁'!$B$8*12),IF(ROW()-3=('首頁'!$B$8*12),G161,MIN(G161,'首頁'!$B$13-C161)),"")</f>
      </c>
      <c r="E161" s="42">
        <f>IF((ROW()-3)&lt;=('首頁'!$B$8*12),G161-D161,"")</f>
      </c>
      <c r="G161" s="39">
        <f>IF((ROW()-3)&lt;=('首頁'!$B$8*12),E160,"")</f>
      </c>
    </row>
    <row r="162" ht="22" customHeight="1" spans="1:7" x14ac:dyDescent="0.25">
      <c r="A162" s="36">
        <f>IF((ROW()-3)&lt;=('首頁'!$B$8*12),ROW()-3,"")</f>
      </c>
      <c r="B162" s="37">
        <f>IF((ROW()-3)&lt;=('首頁'!$B$8*12),C162+D162,"")</f>
      </c>
      <c r="C162" s="38">
        <f>IF((ROW()-3)&lt;=('首頁'!$B$8*12),G162*'首頁'!$B$7/12/100,"")</f>
      </c>
      <c r="D162" s="38">
        <f>IF((ROW()-3)&lt;=('首頁'!$B$8*12),IF(ROW()-3=('首頁'!$B$8*12),G162,MIN(G162,'首頁'!$B$13-C162)),"")</f>
      </c>
      <c r="E162" s="38">
        <f>IF((ROW()-3)&lt;=('首頁'!$B$8*12),G162-D162,"")</f>
      </c>
      <c r="G162" s="39">
        <f>IF((ROW()-3)&lt;=('首頁'!$B$8*12),E161,"")</f>
      </c>
    </row>
    <row r="163" ht="22" customHeight="1" spans="1:7" x14ac:dyDescent="0.25">
      <c r="A163" s="40">
        <f>IF((ROW()-3)&lt;=('首頁'!$B$8*12),ROW()-3,"")</f>
      </c>
      <c r="B163" s="41">
        <f>IF((ROW()-3)&lt;=('首頁'!$B$8*12),C163+D163,"")</f>
      </c>
      <c r="C163" s="42">
        <f>IF((ROW()-3)&lt;=('首頁'!$B$8*12),G163*'首頁'!$B$7/12/100,"")</f>
      </c>
      <c r="D163" s="42">
        <f>IF((ROW()-3)&lt;=('首頁'!$B$8*12),IF(ROW()-3=('首頁'!$B$8*12),G163,MIN(G163,'首頁'!$B$13-C163)),"")</f>
      </c>
      <c r="E163" s="42">
        <f>IF((ROW()-3)&lt;=('首頁'!$B$8*12),G163-D163,"")</f>
      </c>
      <c r="G163" s="39">
        <f>IF((ROW()-3)&lt;=('首頁'!$B$8*12),E162,"")</f>
      </c>
    </row>
    <row r="164" ht="22" customHeight="1" spans="1:7" x14ac:dyDescent="0.25">
      <c r="A164" s="36">
        <f>IF((ROW()-3)&lt;=('首頁'!$B$8*12),ROW()-3,"")</f>
      </c>
      <c r="B164" s="37">
        <f>IF((ROW()-3)&lt;=('首頁'!$B$8*12),C164+D164,"")</f>
      </c>
      <c r="C164" s="38">
        <f>IF((ROW()-3)&lt;=('首頁'!$B$8*12),G164*'首頁'!$B$7/12/100,"")</f>
      </c>
      <c r="D164" s="38">
        <f>IF((ROW()-3)&lt;=('首頁'!$B$8*12),IF(ROW()-3=('首頁'!$B$8*12),G164,MIN(G164,'首頁'!$B$13-C164)),"")</f>
      </c>
      <c r="E164" s="38">
        <f>IF((ROW()-3)&lt;=('首頁'!$B$8*12),G164-D164,"")</f>
      </c>
      <c r="G164" s="39">
        <f>IF((ROW()-3)&lt;=('首頁'!$B$8*12),E163,"")</f>
      </c>
    </row>
    <row r="165" ht="22" customHeight="1" spans="1:7" x14ac:dyDescent="0.25">
      <c r="A165" s="40">
        <f>IF((ROW()-3)&lt;=('首頁'!$B$8*12),ROW()-3,"")</f>
      </c>
      <c r="B165" s="41">
        <f>IF((ROW()-3)&lt;=('首頁'!$B$8*12),C165+D165,"")</f>
      </c>
      <c r="C165" s="42">
        <f>IF((ROW()-3)&lt;=('首頁'!$B$8*12),G165*'首頁'!$B$7/12/100,"")</f>
      </c>
      <c r="D165" s="42">
        <f>IF((ROW()-3)&lt;=('首頁'!$B$8*12),IF(ROW()-3=('首頁'!$B$8*12),G165,MIN(G165,'首頁'!$B$13-C165)),"")</f>
      </c>
      <c r="E165" s="42">
        <f>IF((ROW()-3)&lt;=('首頁'!$B$8*12),G165-D165,"")</f>
      </c>
      <c r="G165" s="39">
        <f>IF((ROW()-3)&lt;=('首頁'!$B$8*12),E164,"")</f>
      </c>
    </row>
    <row r="166" ht="22" customHeight="1" spans="1:7" x14ac:dyDescent="0.25">
      <c r="A166" s="36">
        <f>IF((ROW()-3)&lt;=('首頁'!$B$8*12),ROW()-3,"")</f>
      </c>
      <c r="B166" s="37">
        <f>IF((ROW()-3)&lt;=('首頁'!$B$8*12),C166+D166,"")</f>
      </c>
      <c r="C166" s="38">
        <f>IF((ROW()-3)&lt;=('首頁'!$B$8*12),G166*'首頁'!$B$7/12/100,"")</f>
      </c>
      <c r="D166" s="38">
        <f>IF((ROW()-3)&lt;=('首頁'!$B$8*12),IF(ROW()-3=('首頁'!$B$8*12),G166,MIN(G166,'首頁'!$B$13-C166)),"")</f>
      </c>
      <c r="E166" s="38">
        <f>IF((ROW()-3)&lt;=('首頁'!$B$8*12),G166-D166,"")</f>
      </c>
      <c r="G166" s="39">
        <f>IF((ROW()-3)&lt;=('首頁'!$B$8*12),E165,"")</f>
      </c>
    </row>
    <row r="167" ht="22" customHeight="1" spans="1:7" x14ac:dyDescent="0.25">
      <c r="A167" s="40">
        <f>IF((ROW()-3)&lt;=('首頁'!$B$8*12),ROW()-3,"")</f>
      </c>
      <c r="B167" s="41">
        <f>IF((ROW()-3)&lt;=('首頁'!$B$8*12),C167+D167,"")</f>
      </c>
      <c r="C167" s="42">
        <f>IF((ROW()-3)&lt;=('首頁'!$B$8*12),G167*'首頁'!$B$7/12/100,"")</f>
      </c>
      <c r="D167" s="42">
        <f>IF((ROW()-3)&lt;=('首頁'!$B$8*12),IF(ROW()-3=('首頁'!$B$8*12),G167,MIN(G167,'首頁'!$B$13-C167)),"")</f>
      </c>
      <c r="E167" s="42">
        <f>IF((ROW()-3)&lt;=('首頁'!$B$8*12),G167-D167,"")</f>
      </c>
      <c r="G167" s="39">
        <f>IF((ROW()-3)&lt;=('首頁'!$B$8*12),E166,"")</f>
      </c>
    </row>
    <row r="168" ht="22" customHeight="1" spans="1:7" x14ac:dyDescent="0.25">
      <c r="A168" s="36">
        <f>IF((ROW()-3)&lt;=('首頁'!$B$8*12),ROW()-3,"")</f>
      </c>
      <c r="B168" s="37">
        <f>IF((ROW()-3)&lt;=('首頁'!$B$8*12),C168+D168,"")</f>
      </c>
      <c r="C168" s="38">
        <f>IF((ROW()-3)&lt;=('首頁'!$B$8*12),G168*'首頁'!$B$7/12/100,"")</f>
      </c>
      <c r="D168" s="38">
        <f>IF((ROW()-3)&lt;=('首頁'!$B$8*12),IF(ROW()-3=('首頁'!$B$8*12),G168,MIN(G168,'首頁'!$B$13-C168)),"")</f>
      </c>
      <c r="E168" s="38">
        <f>IF((ROW()-3)&lt;=('首頁'!$B$8*12),G168-D168,"")</f>
      </c>
      <c r="G168" s="39">
        <f>IF((ROW()-3)&lt;=('首頁'!$B$8*12),E167,"")</f>
      </c>
    </row>
    <row r="169" ht="22" customHeight="1" spans="1:7" x14ac:dyDescent="0.25">
      <c r="A169" s="40">
        <f>IF((ROW()-3)&lt;=('首頁'!$B$8*12),ROW()-3,"")</f>
      </c>
      <c r="B169" s="41">
        <f>IF((ROW()-3)&lt;=('首頁'!$B$8*12),C169+D169,"")</f>
      </c>
      <c r="C169" s="42">
        <f>IF((ROW()-3)&lt;=('首頁'!$B$8*12),G169*'首頁'!$B$7/12/100,"")</f>
      </c>
      <c r="D169" s="42">
        <f>IF((ROW()-3)&lt;=('首頁'!$B$8*12),IF(ROW()-3=('首頁'!$B$8*12),G169,MIN(G169,'首頁'!$B$13-C169)),"")</f>
      </c>
      <c r="E169" s="42">
        <f>IF((ROW()-3)&lt;=('首頁'!$B$8*12),G169-D169,"")</f>
      </c>
      <c r="G169" s="39">
        <f>IF((ROW()-3)&lt;=('首頁'!$B$8*12),E168,"")</f>
      </c>
    </row>
    <row r="170" ht="22" customHeight="1" spans="1:7" x14ac:dyDescent="0.25">
      <c r="A170" s="36">
        <f>IF((ROW()-3)&lt;=('首頁'!$B$8*12),ROW()-3,"")</f>
      </c>
      <c r="B170" s="37">
        <f>IF((ROW()-3)&lt;=('首頁'!$B$8*12),C170+D170,"")</f>
      </c>
      <c r="C170" s="38">
        <f>IF((ROW()-3)&lt;=('首頁'!$B$8*12),G170*'首頁'!$B$7/12/100,"")</f>
      </c>
      <c r="D170" s="38">
        <f>IF((ROW()-3)&lt;=('首頁'!$B$8*12),IF(ROW()-3=('首頁'!$B$8*12),G170,MIN(G170,'首頁'!$B$13-C170)),"")</f>
      </c>
      <c r="E170" s="38">
        <f>IF((ROW()-3)&lt;=('首頁'!$B$8*12),G170-D170,"")</f>
      </c>
      <c r="G170" s="39">
        <f>IF((ROW()-3)&lt;=('首頁'!$B$8*12),E169,"")</f>
      </c>
    </row>
    <row r="171" ht="22" customHeight="1" spans="1:7" x14ac:dyDescent="0.25">
      <c r="A171" s="40">
        <f>IF((ROW()-3)&lt;=('首頁'!$B$8*12),ROW()-3,"")</f>
      </c>
      <c r="B171" s="41">
        <f>IF((ROW()-3)&lt;=('首頁'!$B$8*12),C171+D171,"")</f>
      </c>
      <c r="C171" s="42">
        <f>IF((ROW()-3)&lt;=('首頁'!$B$8*12),G171*'首頁'!$B$7/12/100,"")</f>
      </c>
      <c r="D171" s="42">
        <f>IF((ROW()-3)&lt;=('首頁'!$B$8*12),IF(ROW()-3=('首頁'!$B$8*12),G171,MIN(G171,'首頁'!$B$13-C171)),"")</f>
      </c>
      <c r="E171" s="42">
        <f>IF((ROW()-3)&lt;=('首頁'!$B$8*12),G171-D171,"")</f>
      </c>
      <c r="G171" s="39">
        <f>IF((ROW()-3)&lt;=('首頁'!$B$8*12),E170,"")</f>
      </c>
    </row>
    <row r="172" ht="22" customHeight="1" spans="1:7" x14ac:dyDescent="0.25">
      <c r="A172" s="36">
        <f>IF((ROW()-3)&lt;=('首頁'!$B$8*12),ROW()-3,"")</f>
      </c>
      <c r="B172" s="37">
        <f>IF((ROW()-3)&lt;=('首頁'!$B$8*12),C172+D172,"")</f>
      </c>
      <c r="C172" s="38">
        <f>IF((ROW()-3)&lt;=('首頁'!$B$8*12),G172*'首頁'!$B$7/12/100,"")</f>
      </c>
      <c r="D172" s="38">
        <f>IF((ROW()-3)&lt;=('首頁'!$B$8*12),IF(ROW()-3=('首頁'!$B$8*12),G172,MIN(G172,'首頁'!$B$13-C172)),"")</f>
      </c>
      <c r="E172" s="38">
        <f>IF((ROW()-3)&lt;=('首頁'!$B$8*12),G172-D172,"")</f>
      </c>
      <c r="G172" s="39">
        <f>IF((ROW()-3)&lt;=('首頁'!$B$8*12),E171,"")</f>
      </c>
    </row>
    <row r="173" ht="22" customHeight="1" spans="1:7" x14ac:dyDescent="0.25">
      <c r="A173" s="40">
        <f>IF((ROW()-3)&lt;=('首頁'!$B$8*12),ROW()-3,"")</f>
      </c>
      <c r="B173" s="41">
        <f>IF((ROW()-3)&lt;=('首頁'!$B$8*12),C173+D173,"")</f>
      </c>
      <c r="C173" s="42">
        <f>IF((ROW()-3)&lt;=('首頁'!$B$8*12),G173*'首頁'!$B$7/12/100,"")</f>
      </c>
      <c r="D173" s="42">
        <f>IF((ROW()-3)&lt;=('首頁'!$B$8*12),IF(ROW()-3=('首頁'!$B$8*12),G173,MIN(G173,'首頁'!$B$13-C173)),"")</f>
      </c>
      <c r="E173" s="42">
        <f>IF((ROW()-3)&lt;=('首頁'!$B$8*12),G173-D173,"")</f>
      </c>
      <c r="G173" s="39">
        <f>IF((ROW()-3)&lt;=('首頁'!$B$8*12),E172,"")</f>
      </c>
    </row>
    <row r="174" ht="22" customHeight="1" spans="1:7" x14ac:dyDescent="0.25">
      <c r="A174" s="36">
        <f>IF((ROW()-3)&lt;=('首頁'!$B$8*12),ROW()-3,"")</f>
      </c>
      <c r="B174" s="37">
        <f>IF((ROW()-3)&lt;=('首頁'!$B$8*12),C174+D174,"")</f>
      </c>
      <c r="C174" s="38">
        <f>IF((ROW()-3)&lt;=('首頁'!$B$8*12),G174*'首頁'!$B$7/12/100,"")</f>
      </c>
      <c r="D174" s="38">
        <f>IF((ROW()-3)&lt;=('首頁'!$B$8*12),IF(ROW()-3=('首頁'!$B$8*12),G174,MIN(G174,'首頁'!$B$13-C174)),"")</f>
      </c>
      <c r="E174" s="38">
        <f>IF((ROW()-3)&lt;=('首頁'!$B$8*12),G174-D174,"")</f>
      </c>
      <c r="G174" s="39">
        <f>IF((ROW()-3)&lt;=('首頁'!$B$8*12),E173,"")</f>
      </c>
    </row>
    <row r="175" ht="22" customHeight="1" spans="1:7" x14ac:dyDescent="0.25">
      <c r="A175" s="40">
        <f>IF((ROW()-3)&lt;=('首頁'!$B$8*12),ROW()-3,"")</f>
      </c>
      <c r="B175" s="41">
        <f>IF((ROW()-3)&lt;=('首頁'!$B$8*12),C175+D175,"")</f>
      </c>
      <c r="C175" s="42">
        <f>IF((ROW()-3)&lt;=('首頁'!$B$8*12),G175*'首頁'!$B$7/12/100,"")</f>
      </c>
      <c r="D175" s="42">
        <f>IF((ROW()-3)&lt;=('首頁'!$B$8*12),IF(ROW()-3=('首頁'!$B$8*12),G175,MIN(G175,'首頁'!$B$13-C175)),"")</f>
      </c>
      <c r="E175" s="42">
        <f>IF((ROW()-3)&lt;=('首頁'!$B$8*12),G175-D175,"")</f>
      </c>
      <c r="G175" s="39">
        <f>IF((ROW()-3)&lt;=('首頁'!$B$8*12),E174,"")</f>
      </c>
    </row>
    <row r="176" ht="22" customHeight="1" spans="1:7" x14ac:dyDescent="0.25">
      <c r="A176" s="36">
        <f>IF((ROW()-3)&lt;=('首頁'!$B$8*12),ROW()-3,"")</f>
      </c>
      <c r="B176" s="37">
        <f>IF((ROW()-3)&lt;=('首頁'!$B$8*12),C176+D176,"")</f>
      </c>
      <c r="C176" s="38">
        <f>IF((ROW()-3)&lt;=('首頁'!$B$8*12),G176*'首頁'!$B$7/12/100,"")</f>
      </c>
      <c r="D176" s="38">
        <f>IF((ROW()-3)&lt;=('首頁'!$B$8*12),IF(ROW()-3=('首頁'!$B$8*12),G176,MIN(G176,'首頁'!$B$13-C176)),"")</f>
      </c>
      <c r="E176" s="38">
        <f>IF((ROW()-3)&lt;=('首頁'!$B$8*12),G176-D176,"")</f>
      </c>
      <c r="G176" s="39">
        <f>IF((ROW()-3)&lt;=('首頁'!$B$8*12),E175,"")</f>
      </c>
    </row>
    <row r="177" ht="22" customHeight="1" spans="1:7" x14ac:dyDescent="0.25">
      <c r="A177" s="40">
        <f>IF((ROW()-3)&lt;=('首頁'!$B$8*12),ROW()-3,"")</f>
      </c>
      <c r="B177" s="41">
        <f>IF((ROW()-3)&lt;=('首頁'!$B$8*12),C177+D177,"")</f>
      </c>
      <c r="C177" s="42">
        <f>IF((ROW()-3)&lt;=('首頁'!$B$8*12),G177*'首頁'!$B$7/12/100,"")</f>
      </c>
      <c r="D177" s="42">
        <f>IF((ROW()-3)&lt;=('首頁'!$B$8*12),IF(ROW()-3=('首頁'!$B$8*12),G177,MIN(G177,'首頁'!$B$13-C177)),"")</f>
      </c>
      <c r="E177" s="42">
        <f>IF((ROW()-3)&lt;=('首頁'!$B$8*12),G177-D177,"")</f>
      </c>
      <c r="G177" s="39">
        <f>IF((ROW()-3)&lt;=('首頁'!$B$8*12),E176,"")</f>
      </c>
    </row>
    <row r="178" ht="22" customHeight="1" spans="1:7" x14ac:dyDescent="0.25">
      <c r="A178" s="36">
        <f>IF((ROW()-3)&lt;=('首頁'!$B$8*12),ROW()-3,"")</f>
      </c>
      <c r="B178" s="37">
        <f>IF((ROW()-3)&lt;=('首頁'!$B$8*12),C178+D178,"")</f>
      </c>
      <c r="C178" s="38">
        <f>IF((ROW()-3)&lt;=('首頁'!$B$8*12),G178*'首頁'!$B$7/12/100,"")</f>
      </c>
      <c r="D178" s="38">
        <f>IF((ROW()-3)&lt;=('首頁'!$B$8*12),IF(ROW()-3=('首頁'!$B$8*12),G178,MIN(G178,'首頁'!$B$13-C178)),"")</f>
      </c>
      <c r="E178" s="38">
        <f>IF((ROW()-3)&lt;=('首頁'!$B$8*12),G178-D178,"")</f>
      </c>
      <c r="G178" s="39">
        <f>IF((ROW()-3)&lt;=('首頁'!$B$8*12),E177,"")</f>
      </c>
    </row>
    <row r="179" ht="22" customHeight="1" spans="1:7" x14ac:dyDescent="0.25">
      <c r="A179" s="40">
        <f>IF((ROW()-3)&lt;=('首頁'!$B$8*12),ROW()-3,"")</f>
      </c>
      <c r="B179" s="41">
        <f>IF((ROW()-3)&lt;=('首頁'!$B$8*12),C179+D179,"")</f>
      </c>
      <c r="C179" s="42">
        <f>IF((ROW()-3)&lt;=('首頁'!$B$8*12),G179*'首頁'!$B$7/12/100,"")</f>
      </c>
      <c r="D179" s="42">
        <f>IF((ROW()-3)&lt;=('首頁'!$B$8*12),IF(ROW()-3=('首頁'!$B$8*12),G179,MIN(G179,'首頁'!$B$13-C179)),"")</f>
      </c>
      <c r="E179" s="42">
        <f>IF((ROW()-3)&lt;=('首頁'!$B$8*12),G179-D179,"")</f>
      </c>
      <c r="G179" s="39">
        <f>IF((ROW()-3)&lt;=('首頁'!$B$8*12),E178,"")</f>
      </c>
    </row>
    <row r="180" ht="22" customHeight="1" spans="1:7" x14ac:dyDescent="0.25">
      <c r="A180" s="36">
        <f>IF((ROW()-3)&lt;=('首頁'!$B$8*12),ROW()-3,"")</f>
      </c>
      <c r="B180" s="37">
        <f>IF((ROW()-3)&lt;=('首頁'!$B$8*12),C180+D180,"")</f>
      </c>
      <c r="C180" s="38">
        <f>IF((ROW()-3)&lt;=('首頁'!$B$8*12),G180*'首頁'!$B$7/12/100,"")</f>
      </c>
      <c r="D180" s="38">
        <f>IF((ROW()-3)&lt;=('首頁'!$B$8*12),IF(ROW()-3=('首頁'!$B$8*12),G180,MIN(G180,'首頁'!$B$13-C180)),"")</f>
      </c>
      <c r="E180" s="38">
        <f>IF((ROW()-3)&lt;=('首頁'!$B$8*12),G180-D180,"")</f>
      </c>
      <c r="G180" s="39">
        <f>IF((ROW()-3)&lt;=('首頁'!$B$8*12),E179,"")</f>
      </c>
    </row>
    <row r="181" ht="22" customHeight="1" spans="1:7" x14ac:dyDescent="0.25">
      <c r="A181" s="40">
        <f>IF((ROW()-3)&lt;=('首頁'!$B$8*12),ROW()-3,"")</f>
      </c>
      <c r="B181" s="41">
        <f>IF((ROW()-3)&lt;=('首頁'!$B$8*12),C181+D181,"")</f>
      </c>
      <c r="C181" s="42">
        <f>IF((ROW()-3)&lt;=('首頁'!$B$8*12),G181*'首頁'!$B$7/12/100,"")</f>
      </c>
      <c r="D181" s="42">
        <f>IF((ROW()-3)&lt;=('首頁'!$B$8*12),IF(ROW()-3=('首頁'!$B$8*12),G181,MIN(G181,'首頁'!$B$13-C181)),"")</f>
      </c>
      <c r="E181" s="42">
        <f>IF((ROW()-3)&lt;=('首頁'!$B$8*12),G181-D181,"")</f>
      </c>
      <c r="G181" s="39">
        <f>IF((ROW()-3)&lt;=('首頁'!$B$8*12),E180,"")</f>
      </c>
    </row>
    <row r="182" ht="22" customHeight="1" spans="1:7" x14ac:dyDescent="0.25">
      <c r="A182" s="36">
        <f>IF((ROW()-3)&lt;=('首頁'!$B$8*12),ROW()-3,"")</f>
      </c>
      <c r="B182" s="37">
        <f>IF((ROW()-3)&lt;=('首頁'!$B$8*12),C182+D182,"")</f>
      </c>
      <c r="C182" s="38">
        <f>IF((ROW()-3)&lt;=('首頁'!$B$8*12),G182*'首頁'!$B$7/12/100,"")</f>
      </c>
      <c r="D182" s="38">
        <f>IF((ROW()-3)&lt;=('首頁'!$B$8*12),IF(ROW()-3=('首頁'!$B$8*12),G182,MIN(G182,'首頁'!$B$13-C182)),"")</f>
      </c>
      <c r="E182" s="38">
        <f>IF((ROW()-3)&lt;=('首頁'!$B$8*12),G182-D182,"")</f>
      </c>
      <c r="G182" s="39">
        <f>IF((ROW()-3)&lt;=('首頁'!$B$8*12),E181,"")</f>
      </c>
    </row>
    <row r="183" ht="22" customHeight="1" spans="1:7" x14ac:dyDescent="0.25">
      <c r="A183" s="40">
        <f>IF((ROW()-3)&lt;=('首頁'!$B$8*12),ROW()-3,"")</f>
      </c>
      <c r="B183" s="41">
        <f>IF((ROW()-3)&lt;=('首頁'!$B$8*12),C183+D183,"")</f>
      </c>
      <c r="C183" s="42">
        <f>IF((ROW()-3)&lt;=('首頁'!$B$8*12),G183*'首頁'!$B$7/12/100,"")</f>
      </c>
      <c r="D183" s="42">
        <f>IF((ROW()-3)&lt;=('首頁'!$B$8*12),IF(ROW()-3=('首頁'!$B$8*12),G183,MIN(G183,'首頁'!$B$13-C183)),"")</f>
      </c>
      <c r="E183" s="42">
        <f>IF((ROW()-3)&lt;=('首頁'!$B$8*12),G183-D183,"")</f>
      </c>
      <c r="G183" s="39">
        <f>IF((ROW()-3)&lt;=('首頁'!$B$8*12),E182,"")</f>
      </c>
    </row>
    <row r="184" ht="22" customHeight="1" spans="1:7" x14ac:dyDescent="0.25">
      <c r="A184" s="36">
        <f>IF((ROW()-3)&lt;=('首頁'!$B$8*12),ROW()-3,"")</f>
      </c>
      <c r="B184" s="37">
        <f>IF((ROW()-3)&lt;=('首頁'!$B$8*12),C184+D184,"")</f>
      </c>
      <c r="C184" s="38">
        <f>IF((ROW()-3)&lt;=('首頁'!$B$8*12),G184*'首頁'!$B$7/12/100,"")</f>
      </c>
      <c r="D184" s="38">
        <f>IF((ROW()-3)&lt;=('首頁'!$B$8*12),IF(ROW()-3=('首頁'!$B$8*12),G184,MIN(G184,'首頁'!$B$13-C184)),"")</f>
      </c>
      <c r="E184" s="38">
        <f>IF((ROW()-3)&lt;=('首頁'!$B$8*12),G184-D184,"")</f>
      </c>
      <c r="G184" s="39">
        <f>IF((ROW()-3)&lt;=('首頁'!$B$8*12),E183,"")</f>
      </c>
    </row>
    <row r="185" ht="22" customHeight="1" spans="1:7" x14ac:dyDescent="0.25">
      <c r="A185" s="40">
        <f>IF((ROW()-3)&lt;=('首頁'!$B$8*12),ROW()-3,"")</f>
      </c>
      <c r="B185" s="41">
        <f>IF((ROW()-3)&lt;=('首頁'!$B$8*12),C185+D185,"")</f>
      </c>
      <c r="C185" s="42">
        <f>IF((ROW()-3)&lt;=('首頁'!$B$8*12),G185*'首頁'!$B$7/12/100,"")</f>
      </c>
      <c r="D185" s="42">
        <f>IF((ROW()-3)&lt;=('首頁'!$B$8*12),IF(ROW()-3=('首頁'!$B$8*12),G185,MIN(G185,'首頁'!$B$13-C185)),"")</f>
      </c>
      <c r="E185" s="42">
        <f>IF((ROW()-3)&lt;=('首頁'!$B$8*12),G185-D185,"")</f>
      </c>
      <c r="G185" s="39">
        <f>IF((ROW()-3)&lt;=('首頁'!$B$8*12),E184,"")</f>
      </c>
    </row>
    <row r="186" ht="22" customHeight="1" spans="1:7" x14ac:dyDescent="0.25">
      <c r="A186" s="36">
        <f>IF((ROW()-3)&lt;=('首頁'!$B$8*12),ROW()-3,"")</f>
      </c>
      <c r="B186" s="37">
        <f>IF((ROW()-3)&lt;=('首頁'!$B$8*12),C186+D186,"")</f>
      </c>
      <c r="C186" s="38">
        <f>IF((ROW()-3)&lt;=('首頁'!$B$8*12),G186*'首頁'!$B$7/12/100,"")</f>
      </c>
      <c r="D186" s="38">
        <f>IF((ROW()-3)&lt;=('首頁'!$B$8*12),IF(ROW()-3=('首頁'!$B$8*12),G186,MIN(G186,'首頁'!$B$13-C186)),"")</f>
      </c>
      <c r="E186" s="38">
        <f>IF((ROW()-3)&lt;=('首頁'!$B$8*12),G186-D186,"")</f>
      </c>
      <c r="G186" s="39">
        <f>IF((ROW()-3)&lt;=('首頁'!$B$8*12),E185,"")</f>
      </c>
    </row>
    <row r="187" ht="22" customHeight="1" spans="1:7" x14ac:dyDescent="0.25">
      <c r="A187" s="40">
        <f>IF((ROW()-3)&lt;=('首頁'!$B$8*12),ROW()-3,"")</f>
      </c>
      <c r="B187" s="41">
        <f>IF((ROW()-3)&lt;=('首頁'!$B$8*12),C187+D187,"")</f>
      </c>
      <c r="C187" s="42">
        <f>IF((ROW()-3)&lt;=('首頁'!$B$8*12),G187*'首頁'!$B$7/12/100,"")</f>
      </c>
      <c r="D187" s="42">
        <f>IF((ROW()-3)&lt;=('首頁'!$B$8*12),IF(ROW()-3=('首頁'!$B$8*12),G187,MIN(G187,'首頁'!$B$13-C187)),"")</f>
      </c>
      <c r="E187" s="42">
        <f>IF((ROW()-3)&lt;=('首頁'!$B$8*12),G187-D187,"")</f>
      </c>
      <c r="G187" s="39">
        <f>IF((ROW()-3)&lt;=('首頁'!$B$8*12),E186,"")</f>
      </c>
    </row>
    <row r="188" ht="22" customHeight="1" spans="1:7" x14ac:dyDescent="0.25">
      <c r="A188" s="36">
        <f>IF((ROW()-3)&lt;=('首頁'!$B$8*12),ROW()-3,"")</f>
      </c>
      <c r="B188" s="37">
        <f>IF((ROW()-3)&lt;=('首頁'!$B$8*12),C188+D188,"")</f>
      </c>
      <c r="C188" s="38">
        <f>IF((ROW()-3)&lt;=('首頁'!$B$8*12),G188*'首頁'!$B$7/12/100,"")</f>
      </c>
      <c r="D188" s="38">
        <f>IF((ROW()-3)&lt;=('首頁'!$B$8*12),IF(ROW()-3=('首頁'!$B$8*12),G188,MIN(G188,'首頁'!$B$13-C188)),"")</f>
      </c>
      <c r="E188" s="38">
        <f>IF((ROW()-3)&lt;=('首頁'!$B$8*12),G188-D188,"")</f>
      </c>
      <c r="G188" s="39">
        <f>IF((ROW()-3)&lt;=('首頁'!$B$8*12),E187,"")</f>
      </c>
    </row>
    <row r="189" ht="22" customHeight="1" spans="1:7" x14ac:dyDescent="0.25">
      <c r="A189" s="40">
        <f>IF((ROW()-3)&lt;=('首頁'!$B$8*12),ROW()-3,"")</f>
      </c>
      <c r="B189" s="41">
        <f>IF((ROW()-3)&lt;=('首頁'!$B$8*12),C189+D189,"")</f>
      </c>
      <c r="C189" s="42">
        <f>IF((ROW()-3)&lt;=('首頁'!$B$8*12),G189*'首頁'!$B$7/12/100,"")</f>
      </c>
      <c r="D189" s="42">
        <f>IF((ROW()-3)&lt;=('首頁'!$B$8*12),IF(ROW()-3=('首頁'!$B$8*12),G189,MIN(G189,'首頁'!$B$13-C189)),"")</f>
      </c>
      <c r="E189" s="42">
        <f>IF((ROW()-3)&lt;=('首頁'!$B$8*12),G189-D189,"")</f>
      </c>
      <c r="G189" s="39">
        <f>IF((ROW()-3)&lt;=('首頁'!$B$8*12),E188,"")</f>
      </c>
    </row>
    <row r="190" ht="22" customHeight="1" spans="1:7" x14ac:dyDescent="0.25">
      <c r="A190" s="36">
        <f>IF((ROW()-3)&lt;=('首頁'!$B$8*12),ROW()-3,"")</f>
      </c>
      <c r="B190" s="37">
        <f>IF((ROW()-3)&lt;=('首頁'!$B$8*12),C190+D190,"")</f>
      </c>
      <c r="C190" s="38">
        <f>IF((ROW()-3)&lt;=('首頁'!$B$8*12),G190*'首頁'!$B$7/12/100,"")</f>
      </c>
      <c r="D190" s="38">
        <f>IF((ROW()-3)&lt;=('首頁'!$B$8*12),IF(ROW()-3=('首頁'!$B$8*12),G190,MIN(G190,'首頁'!$B$13-C190)),"")</f>
      </c>
      <c r="E190" s="38">
        <f>IF((ROW()-3)&lt;=('首頁'!$B$8*12),G190-D190,"")</f>
      </c>
      <c r="G190" s="39">
        <f>IF((ROW()-3)&lt;=('首頁'!$B$8*12),E189,"")</f>
      </c>
    </row>
    <row r="191" ht="22" customHeight="1" spans="1:7" x14ac:dyDescent="0.25">
      <c r="A191" s="40">
        <f>IF((ROW()-3)&lt;=('首頁'!$B$8*12),ROW()-3,"")</f>
      </c>
      <c r="B191" s="41">
        <f>IF((ROW()-3)&lt;=('首頁'!$B$8*12),C191+D191,"")</f>
      </c>
      <c r="C191" s="42">
        <f>IF((ROW()-3)&lt;=('首頁'!$B$8*12),G191*'首頁'!$B$7/12/100,"")</f>
      </c>
      <c r="D191" s="42">
        <f>IF((ROW()-3)&lt;=('首頁'!$B$8*12),IF(ROW()-3=('首頁'!$B$8*12),G191,MIN(G191,'首頁'!$B$13-C191)),"")</f>
      </c>
      <c r="E191" s="42">
        <f>IF((ROW()-3)&lt;=('首頁'!$B$8*12),G191-D191,"")</f>
      </c>
      <c r="G191" s="39">
        <f>IF((ROW()-3)&lt;=('首頁'!$B$8*12),E190,"")</f>
      </c>
    </row>
    <row r="192" ht="22" customHeight="1" spans="1:7" x14ac:dyDescent="0.25">
      <c r="A192" s="36">
        <f>IF((ROW()-3)&lt;=('首頁'!$B$8*12),ROW()-3,"")</f>
      </c>
      <c r="B192" s="37">
        <f>IF((ROW()-3)&lt;=('首頁'!$B$8*12),C192+D192,"")</f>
      </c>
      <c r="C192" s="38">
        <f>IF((ROW()-3)&lt;=('首頁'!$B$8*12),G192*'首頁'!$B$7/12/100,"")</f>
      </c>
      <c r="D192" s="38">
        <f>IF((ROW()-3)&lt;=('首頁'!$B$8*12),IF(ROW()-3=('首頁'!$B$8*12),G192,MIN(G192,'首頁'!$B$13-C192)),"")</f>
      </c>
      <c r="E192" s="38">
        <f>IF((ROW()-3)&lt;=('首頁'!$B$8*12),G192-D192,"")</f>
      </c>
      <c r="G192" s="39">
        <f>IF((ROW()-3)&lt;=('首頁'!$B$8*12),E191,"")</f>
      </c>
    </row>
    <row r="193" ht="22" customHeight="1" spans="1:7" x14ac:dyDescent="0.25">
      <c r="A193" s="40">
        <f>IF((ROW()-3)&lt;=('首頁'!$B$8*12),ROW()-3,"")</f>
      </c>
      <c r="B193" s="41">
        <f>IF((ROW()-3)&lt;=('首頁'!$B$8*12),C193+D193,"")</f>
      </c>
      <c r="C193" s="42">
        <f>IF((ROW()-3)&lt;=('首頁'!$B$8*12),G193*'首頁'!$B$7/12/100,"")</f>
      </c>
      <c r="D193" s="42">
        <f>IF((ROW()-3)&lt;=('首頁'!$B$8*12),IF(ROW()-3=('首頁'!$B$8*12),G193,MIN(G193,'首頁'!$B$13-C193)),"")</f>
      </c>
      <c r="E193" s="42">
        <f>IF((ROW()-3)&lt;=('首頁'!$B$8*12),G193-D193,"")</f>
      </c>
      <c r="G193" s="39">
        <f>IF((ROW()-3)&lt;=('首頁'!$B$8*12),E192,"")</f>
      </c>
    </row>
    <row r="194" ht="22" customHeight="1" spans="1:7" x14ac:dyDescent="0.25">
      <c r="A194" s="36">
        <f>IF((ROW()-3)&lt;=('首頁'!$B$8*12),ROW()-3,"")</f>
      </c>
      <c r="B194" s="37">
        <f>IF((ROW()-3)&lt;=('首頁'!$B$8*12),C194+D194,"")</f>
      </c>
      <c r="C194" s="38">
        <f>IF((ROW()-3)&lt;=('首頁'!$B$8*12),G194*'首頁'!$B$7/12/100,"")</f>
      </c>
      <c r="D194" s="38">
        <f>IF((ROW()-3)&lt;=('首頁'!$B$8*12),IF(ROW()-3=('首頁'!$B$8*12),G194,MIN(G194,'首頁'!$B$13-C194)),"")</f>
      </c>
      <c r="E194" s="38">
        <f>IF((ROW()-3)&lt;=('首頁'!$B$8*12),G194-D194,"")</f>
      </c>
      <c r="G194" s="39">
        <f>IF((ROW()-3)&lt;=('首頁'!$B$8*12),E193,"")</f>
      </c>
    </row>
    <row r="195" ht="22" customHeight="1" spans="1:7" x14ac:dyDescent="0.25">
      <c r="A195" s="40">
        <f>IF((ROW()-3)&lt;=('首頁'!$B$8*12),ROW()-3,"")</f>
      </c>
      <c r="B195" s="41">
        <f>IF((ROW()-3)&lt;=('首頁'!$B$8*12),C195+D195,"")</f>
      </c>
      <c r="C195" s="42">
        <f>IF((ROW()-3)&lt;=('首頁'!$B$8*12),G195*'首頁'!$B$7/12/100,"")</f>
      </c>
      <c r="D195" s="42">
        <f>IF((ROW()-3)&lt;=('首頁'!$B$8*12),IF(ROW()-3=('首頁'!$B$8*12),G195,MIN(G195,'首頁'!$B$13-C195)),"")</f>
      </c>
      <c r="E195" s="42">
        <f>IF((ROW()-3)&lt;=('首頁'!$B$8*12),G195-D195,"")</f>
      </c>
      <c r="G195" s="39">
        <f>IF((ROW()-3)&lt;=('首頁'!$B$8*12),E194,"")</f>
      </c>
    </row>
    <row r="196" ht="22" customHeight="1" spans="1:7" x14ac:dyDescent="0.25">
      <c r="A196" s="36">
        <f>IF((ROW()-3)&lt;=('首頁'!$B$8*12),ROW()-3,"")</f>
      </c>
      <c r="B196" s="37">
        <f>IF((ROW()-3)&lt;=('首頁'!$B$8*12),C196+D196,"")</f>
      </c>
      <c r="C196" s="38">
        <f>IF((ROW()-3)&lt;=('首頁'!$B$8*12),G196*'首頁'!$B$7/12/100,"")</f>
      </c>
      <c r="D196" s="38">
        <f>IF((ROW()-3)&lt;=('首頁'!$B$8*12),IF(ROW()-3=('首頁'!$B$8*12),G196,MIN(G196,'首頁'!$B$13-C196)),"")</f>
      </c>
      <c r="E196" s="38">
        <f>IF((ROW()-3)&lt;=('首頁'!$B$8*12),G196-D196,"")</f>
      </c>
      <c r="G196" s="39">
        <f>IF((ROW()-3)&lt;=('首頁'!$B$8*12),E195,"")</f>
      </c>
    </row>
    <row r="197" ht="22" customHeight="1" spans="1:7" x14ac:dyDescent="0.25">
      <c r="A197" s="40">
        <f>IF((ROW()-3)&lt;=('首頁'!$B$8*12),ROW()-3,"")</f>
      </c>
      <c r="B197" s="41">
        <f>IF((ROW()-3)&lt;=('首頁'!$B$8*12),C197+D197,"")</f>
      </c>
      <c r="C197" s="42">
        <f>IF((ROW()-3)&lt;=('首頁'!$B$8*12),G197*'首頁'!$B$7/12/100,"")</f>
      </c>
      <c r="D197" s="42">
        <f>IF((ROW()-3)&lt;=('首頁'!$B$8*12),IF(ROW()-3=('首頁'!$B$8*12),G197,MIN(G197,'首頁'!$B$13-C197)),"")</f>
      </c>
      <c r="E197" s="42">
        <f>IF((ROW()-3)&lt;=('首頁'!$B$8*12),G197-D197,"")</f>
      </c>
      <c r="G197" s="39">
        <f>IF((ROW()-3)&lt;=('首頁'!$B$8*12),E196,"")</f>
      </c>
    </row>
    <row r="198" ht="22" customHeight="1" spans="1:7" x14ac:dyDescent="0.25">
      <c r="A198" s="36">
        <f>IF((ROW()-3)&lt;=('首頁'!$B$8*12),ROW()-3,"")</f>
      </c>
      <c r="B198" s="37">
        <f>IF((ROW()-3)&lt;=('首頁'!$B$8*12),C198+D198,"")</f>
      </c>
      <c r="C198" s="38">
        <f>IF((ROW()-3)&lt;=('首頁'!$B$8*12),G198*'首頁'!$B$7/12/100,"")</f>
      </c>
      <c r="D198" s="38">
        <f>IF((ROW()-3)&lt;=('首頁'!$B$8*12),IF(ROW()-3=('首頁'!$B$8*12),G198,MIN(G198,'首頁'!$B$13-C198)),"")</f>
      </c>
      <c r="E198" s="38">
        <f>IF((ROW()-3)&lt;=('首頁'!$B$8*12),G198-D198,"")</f>
      </c>
      <c r="G198" s="39">
        <f>IF((ROW()-3)&lt;=('首頁'!$B$8*12),E197,"")</f>
      </c>
    </row>
    <row r="199" ht="22" customHeight="1" spans="1:7" x14ac:dyDescent="0.25">
      <c r="A199" s="40">
        <f>IF((ROW()-3)&lt;=('首頁'!$B$8*12),ROW()-3,"")</f>
      </c>
      <c r="B199" s="41">
        <f>IF((ROW()-3)&lt;=('首頁'!$B$8*12),C199+D199,"")</f>
      </c>
      <c r="C199" s="42">
        <f>IF((ROW()-3)&lt;=('首頁'!$B$8*12),G199*'首頁'!$B$7/12/100,"")</f>
      </c>
      <c r="D199" s="42">
        <f>IF((ROW()-3)&lt;=('首頁'!$B$8*12),IF(ROW()-3=('首頁'!$B$8*12),G199,MIN(G199,'首頁'!$B$13-C199)),"")</f>
      </c>
      <c r="E199" s="42">
        <f>IF((ROW()-3)&lt;=('首頁'!$B$8*12),G199-D199,"")</f>
      </c>
      <c r="G199" s="39">
        <f>IF((ROW()-3)&lt;=('首頁'!$B$8*12),E198,"")</f>
      </c>
    </row>
    <row r="200" ht="22" customHeight="1" spans="1:7" x14ac:dyDescent="0.25">
      <c r="A200" s="36">
        <f>IF((ROW()-3)&lt;=('首頁'!$B$8*12),ROW()-3,"")</f>
      </c>
      <c r="B200" s="37">
        <f>IF((ROW()-3)&lt;=('首頁'!$B$8*12),C200+D200,"")</f>
      </c>
      <c r="C200" s="38">
        <f>IF((ROW()-3)&lt;=('首頁'!$B$8*12),G200*'首頁'!$B$7/12/100,"")</f>
      </c>
      <c r="D200" s="38">
        <f>IF((ROW()-3)&lt;=('首頁'!$B$8*12),IF(ROW()-3=('首頁'!$B$8*12),G200,MIN(G200,'首頁'!$B$13-C200)),"")</f>
      </c>
      <c r="E200" s="38">
        <f>IF((ROW()-3)&lt;=('首頁'!$B$8*12),G200-D200,"")</f>
      </c>
      <c r="G200" s="39">
        <f>IF((ROW()-3)&lt;=('首頁'!$B$8*12),E199,"")</f>
      </c>
    </row>
    <row r="201" ht="22" customHeight="1" spans="1:7" x14ac:dyDescent="0.25">
      <c r="A201" s="40">
        <f>IF((ROW()-3)&lt;=('首頁'!$B$8*12),ROW()-3,"")</f>
      </c>
      <c r="B201" s="41">
        <f>IF((ROW()-3)&lt;=('首頁'!$B$8*12),C201+D201,"")</f>
      </c>
      <c r="C201" s="42">
        <f>IF((ROW()-3)&lt;=('首頁'!$B$8*12),G201*'首頁'!$B$7/12/100,"")</f>
      </c>
      <c r="D201" s="42">
        <f>IF((ROW()-3)&lt;=('首頁'!$B$8*12),IF(ROW()-3=('首頁'!$B$8*12),G201,MIN(G201,'首頁'!$B$13-C201)),"")</f>
      </c>
      <c r="E201" s="42">
        <f>IF((ROW()-3)&lt;=('首頁'!$B$8*12),G201-D201,"")</f>
      </c>
      <c r="G201" s="39">
        <f>IF((ROW()-3)&lt;=('首頁'!$B$8*12),E200,"")</f>
      </c>
    </row>
    <row r="202" ht="22" customHeight="1" spans="1:7" x14ac:dyDescent="0.25">
      <c r="A202" s="36">
        <f>IF((ROW()-3)&lt;=('首頁'!$B$8*12),ROW()-3,"")</f>
      </c>
      <c r="B202" s="37">
        <f>IF((ROW()-3)&lt;=('首頁'!$B$8*12),C202+D202,"")</f>
      </c>
      <c r="C202" s="38">
        <f>IF((ROW()-3)&lt;=('首頁'!$B$8*12),G202*'首頁'!$B$7/12/100,"")</f>
      </c>
      <c r="D202" s="38">
        <f>IF((ROW()-3)&lt;=('首頁'!$B$8*12),IF(ROW()-3=('首頁'!$B$8*12),G202,MIN(G202,'首頁'!$B$13-C202)),"")</f>
      </c>
      <c r="E202" s="38">
        <f>IF((ROW()-3)&lt;=('首頁'!$B$8*12),G202-D202,"")</f>
      </c>
      <c r="G202" s="39">
        <f>IF((ROW()-3)&lt;=('首頁'!$B$8*12),E201,"")</f>
      </c>
    </row>
    <row r="203" ht="22" customHeight="1" spans="1:7" x14ac:dyDescent="0.25">
      <c r="A203" s="40">
        <f>IF((ROW()-3)&lt;=('首頁'!$B$8*12),ROW()-3,"")</f>
      </c>
      <c r="B203" s="41">
        <f>IF((ROW()-3)&lt;=('首頁'!$B$8*12),C203+D203,"")</f>
      </c>
      <c r="C203" s="42">
        <f>IF((ROW()-3)&lt;=('首頁'!$B$8*12),G203*'首頁'!$B$7/12/100,"")</f>
      </c>
      <c r="D203" s="42">
        <f>IF((ROW()-3)&lt;=('首頁'!$B$8*12),IF(ROW()-3=('首頁'!$B$8*12),G203,MIN(G203,'首頁'!$B$13-C203)),"")</f>
      </c>
      <c r="E203" s="42">
        <f>IF((ROW()-3)&lt;=('首頁'!$B$8*12),G203-D203,"")</f>
      </c>
      <c r="G203" s="39">
        <f>IF((ROW()-3)&lt;=('首頁'!$B$8*12),E202,"")</f>
      </c>
    </row>
    <row r="204" ht="22" customHeight="1" spans="1:7" x14ac:dyDescent="0.25">
      <c r="A204" s="36">
        <f>IF((ROW()-3)&lt;=('首頁'!$B$8*12),ROW()-3,"")</f>
      </c>
      <c r="B204" s="37">
        <f>IF((ROW()-3)&lt;=('首頁'!$B$8*12),C204+D204,"")</f>
      </c>
      <c r="C204" s="38">
        <f>IF((ROW()-3)&lt;=('首頁'!$B$8*12),G204*'首頁'!$B$7/12/100,"")</f>
      </c>
      <c r="D204" s="38">
        <f>IF((ROW()-3)&lt;=('首頁'!$B$8*12),IF(ROW()-3=('首頁'!$B$8*12),G204,MIN(G204,'首頁'!$B$13-C204)),"")</f>
      </c>
      <c r="E204" s="38">
        <f>IF((ROW()-3)&lt;=('首頁'!$B$8*12),G204-D204,"")</f>
      </c>
      <c r="G204" s="39">
        <f>IF((ROW()-3)&lt;=('首頁'!$B$8*12),E203,"")</f>
      </c>
    </row>
    <row r="205" ht="22" customHeight="1" spans="1:7" x14ac:dyDescent="0.25">
      <c r="A205" s="40">
        <f>IF((ROW()-3)&lt;=('首頁'!$B$8*12),ROW()-3,"")</f>
      </c>
      <c r="B205" s="41">
        <f>IF((ROW()-3)&lt;=('首頁'!$B$8*12),C205+D205,"")</f>
      </c>
      <c r="C205" s="42">
        <f>IF((ROW()-3)&lt;=('首頁'!$B$8*12),G205*'首頁'!$B$7/12/100,"")</f>
      </c>
      <c r="D205" s="42">
        <f>IF((ROW()-3)&lt;=('首頁'!$B$8*12),IF(ROW()-3=('首頁'!$B$8*12),G205,MIN(G205,'首頁'!$B$13-C205)),"")</f>
      </c>
      <c r="E205" s="42">
        <f>IF((ROW()-3)&lt;=('首頁'!$B$8*12),G205-D205,"")</f>
      </c>
      <c r="G205" s="39">
        <f>IF((ROW()-3)&lt;=('首頁'!$B$8*12),E204,"")</f>
      </c>
    </row>
    <row r="206" ht="22" customHeight="1" spans="1:7" x14ac:dyDescent="0.25">
      <c r="A206" s="36">
        <f>IF((ROW()-3)&lt;=('首頁'!$B$8*12),ROW()-3,"")</f>
      </c>
      <c r="B206" s="37">
        <f>IF((ROW()-3)&lt;=('首頁'!$B$8*12),C206+D206,"")</f>
      </c>
      <c r="C206" s="38">
        <f>IF((ROW()-3)&lt;=('首頁'!$B$8*12),G206*'首頁'!$B$7/12/100,"")</f>
      </c>
      <c r="D206" s="38">
        <f>IF((ROW()-3)&lt;=('首頁'!$B$8*12),IF(ROW()-3=('首頁'!$B$8*12),G206,MIN(G206,'首頁'!$B$13-C206)),"")</f>
      </c>
      <c r="E206" s="38">
        <f>IF((ROW()-3)&lt;=('首頁'!$B$8*12),G206-D206,"")</f>
      </c>
      <c r="G206" s="39">
        <f>IF((ROW()-3)&lt;=('首頁'!$B$8*12),E205,"")</f>
      </c>
    </row>
    <row r="207" ht="22" customHeight="1" spans="1:7" x14ac:dyDescent="0.25">
      <c r="A207" s="40">
        <f>IF((ROW()-3)&lt;=('首頁'!$B$8*12),ROW()-3,"")</f>
      </c>
      <c r="B207" s="41">
        <f>IF((ROW()-3)&lt;=('首頁'!$B$8*12),C207+D207,"")</f>
      </c>
      <c r="C207" s="42">
        <f>IF((ROW()-3)&lt;=('首頁'!$B$8*12),G207*'首頁'!$B$7/12/100,"")</f>
      </c>
      <c r="D207" s="42">
        <f>IF((ROW()-3)&lt;=('首頁'!$B$8*12),IF(ROW()-3=('首頁'!$B$8*12),G207,MIN(G207,'首頁'!$B$13-C207)),"")</f>
      </c>
      <c r="E207" s="42">
        <f>IF((ROW()-3)&lt;=('首頁'!$B$8*12),G207-D207,"")</f>
      </c>
      <c r="G207" s="39">
        <f>IF((ROW()-3)&lt;=('首頁'!$B$8*12),E206,"")</f>
      </c>
    </row>
    <row r="208" ht="22" customHeight="1" spans="1:7" x14ac:dyDescent="0.25">
      <c r="A208" s="36">
        <f>IF((ROW()-3)&lt;=('首頁'!$B$8*12),ROW()-3,"")</f>
      </c>
      <c r="B208" s="37">
        <f>IF((ROW()-3)&lt;=('首頁'!$B$8*12),C208+D208,"")</f>
      </c>
      <c r="C208" s="38">
        <f>IF((ROW()-3)&lt;=('首頁'!$B$8*12),G208*'首頁'!$B$7/12/100,"")</f>
      </c>
      <c r="D208" s="38">
        <f>IF((ROW()-3)&lt;=('首頁'!$B$8*12),IF(ROW()-3=('首頁'!$B$8*12),G208,MIN(G208,'首頁'!$B$13-C208)),"")</f>
      </c>
      <c r="E208" s="38">
        <f>IF((ROW()-3)&lt;=('首頁'!$B$8*12),G208-D208,"")</f>
      </c>
      <c r="G208" s="39">
        <f>IF((ROW()-3)&lt;=('首頁'!$B$8*12),E207,"")</f>
      </c>
    </row>
    <row r="209" ht="22" customHeight="1" spans="1:7" x14ac:dyDescent="0.25">
      <c r="A209" s="40">
        <f>IF((ROW()-3)&lt;=('首頁'!$B$8*12),ROW()-3,"")</f>
      </c>
      <c r="B209" s="41">
        <f>IF((ROW()-3)&lt;=('首頁'!$B$8*12),C209+D209,"")</f>
      </c>
      <c r="C209" s="42">
        <f>IF((ROW()-3)&lt;=('首頁'!$B$8*12),G209*'首頁'!$B$7/12/100,"")</f>
      </c>
      <c r="D209" s="42">
        <f>IF((ROW()-3)&lt;=('首頁'!$B$8*12),IF(ROW()-3=('首頁'!$B$8*12),G209,MIN(G209,'首頁'!$B$13-C209)),"")</f>
      </c>
      <c r="E209" s="42">
        <f>IF((ROW()-3)&lt;=('首頁'!$B$8*12),G209-D209,"")</f>
      </c>
      <c r="G209" s="39">
        <f>IF((ROW()-3)&lt;=('首頁'!$B$8*12),E208,"")</f>
      </c>
    </row>
    <row r="210" ht="22" customHeight="1" spans="1:7" x14ac:dyDescent="0.25">
      <c r="A210" s="36">
        <f>IF((ROW()-3)&lt;=('首頁'!$B$8*12),ROW()-3,"")</f>
      </c>
      <c r="B210" s="37">
        <f>IF((ROW()-3)&lt;=('首頁'!$B$8*12),C210+D210,"")</f>
      </c>
      <c r="C210" s="38">
        <f>IF((ROW()-3)&lt;=('首頁'!$B$8*12),G210*'首頁'!$B$7/12/100,"")</f>
      </c>
      <c r="D210" s="38">
        <f>IF((ROW()-3)&lt;=('首頁'!$B$8*12),IF(ROW()-3=('首頁'!$B$8*12),G210,MIN(G210,'首頁'!$B$13-C210)),"")</f>
      </c>
      <c r="E210" s="38">
        <f>IF((ROW()-3)&lt;=('首頁'!$B$8*12),G210-D210,"")</f>
      </c>
      <c r="G210" s="39">
        <f>IF((ROW()-3)&lt;=('首頁'!$B$8*12),E209,"")</f>
      </c>
    </row>
    <row r="211" ht="22" customHeight="1" spans="1:7" x14ac:dyDescent="0.25">
      <c r="A211" s="40">
        <f>IF((ROW()-3)&lt;=('首頁'!$B$8*12),ROW()-3,"")</f>
      </c>
      <c r="B211" s="41">
        <f>IF((ROW()-3)&lt;=('首頁'!$B$8*12),C211+D211,"")</f>
      </c>
      <c r="C211" s="42">
        <f>IF((ROW()-3)&lt;=('首頁'!$B$8*12),G211*'首頁'!$B$7/12/100,"")</f>
      </c>
      <c r="D211" s="42">
        <f>IF((ROW()-3)&lt;=('首頁'!$B$8*12),IF(ROW()-3=('首頁'!$B$8*12),G211,MIN(G211,'首頁'!$B$13-C211)),"")</f>
      </c>
      <c r="E211" s="42">
        <f>IF((ROW()-3)&lt;=('首頁'!$B$8*12),G211-D211,"")</f>
      </c>
      <c r="G211" s="39">
        <f>IF((ROW()-3)&lt;=('首頁'!$B$8*12),E210,"")</f>
      </c>
    </row>
    <row r="212" ht="22" customHeight="1" spans="1:7" x14ac:dyDescent="0.25">
      <c r="A212" s="36">
        <f>IF((ROW()-3)&lt;=('首頁'!$B$8*12),ROW()-3,"")</f>
      </c>
      <c r="B212" s="37">
        <f>IF((ROW()-3)&lt;=('首頁'!$B$8*12),C212+D212,"")</f>
      </c>
      <c r="C212" s="38">
        <f>IF((ROW()-3)&lt;=('首頁'!$B$8*12),G212*'首頁'!$B$7/12/100,"")</f>
      </c>
      <c r="D212" s="38">
        <f>IF((ROW()-3)&lt;=('首頁'!$B$8*12),IF(ROW()-3=('首頁'!$B$8*12),G212,MIN(G212,'首頁'!$B$13-C212)),"")</f>
      </c>
      <c r="E212" s="38">
        <f>IF((ROW()-3)&lt;=('首頁'!$B$8*12),G212-D212,"")</f>
      </c>
      <c r="G212" s="39">
        <f>IF((ROW()-3)&lt;=('首頁'!$B$8*12),E211,"")</f>
      </c>
    </row>
    <row r="213" ht="22" customHeight="1" spans="1:7" x14ac:dyDescent="0.25">
      <c r="A213" s="40">
        <f>IF((ROW()-3)&lt;=('首頁'!$B$8*12),ROW()-3,"")</f>
      </c>
      <c r="B213" s="41">
        <f>IF((ROW()-3)&lt;=('首頁'!$B$8*12),C213+D213,"")</f>
      </c>
      <c r="C213" s="42">
        <f>IF((ROW()-3)&lt;=('首頁'!$B$8*12),G213*'首頁'!$B$7/12/100,"")</f>
      </c>
      <c r="D213" s="42">
        <f>IF((ROW()-3)&lt;=('首頁'!$B$8*12),IF(ROW()-3=('首頁'!$B$8*12),G213,MIN(G213,'首頁'!$B$13-C213)),"")</f>
      </c>
      <c r="E213" s="42">
        <f>IF((ROW()-3)&lt;=('首頁'!$B$8*12),G213-D213,"")</f>
      </c>
      <c r="G213" s="39">
        <f>IF((ROW()-3)&lt;=('首頁'!$B$8*12),E212,"")</f>
      </c>
    </row>
    <row r="214" ht="22" customHeight="1" spans="1:7" x14ac:dyDescent="0.25">
      <c r="A214" s="36">
        <f>IF((ROW()-3)&lt;=('首頁'!$B$8*12),ROW()-3,"")</f>
      </c>
      <c r="B214" s="37">
        <f>IF((ROW()-3)&lt;=('首頁'!$B$8*12),C214+D214,"")</f>
      </c>
      <c r="C214" s="38">
        <f>IF((ROW()-3)&lt;=('首頁'!$B$8*12),G214*'首頁'!$B$7/12/100,"")</f>
      </c>
      <c r="D214" s="38">
        <f>IF((ROW()-3)&lt;=('首頁'!$B$8*12),IF(ROW()-3=('首頁'!$B$8*12),G214,MIN(G214,'首頁'!$B$13-C214)),"")</f>
      </c>
      <c r="E214" s="38">
        <f>IF((ROW()-3)&lt;=('首頁'!$B$8*12),G214-D214,"")</f>
      </c>
      <c r="G214" s="39">
        <f>IF((ROW()-3)&lt;=('首頁'!$B$8*12),E213,"")</f>
      </c>
    </row>
    <row r="215" ht="22" customHeight="1" spans="1:7" x14ac:dyDescent="0.25">
      <c r="A215" s="40">
        <f>IF((ROW()-3)&lt;=('首頁'!$B$8*12),ROW()-3,"")</f>
      </c>
      <c r="B215" s="41">
        <f>IF((ROW()-3)&lt;=('首頁'!$B$8*12),C215+D215,"")</f>
      </c>
      <c r="C215" s="42">
        <f>IF((ROW()-3)&lt;=('首頁'!$B$8*12),G215*'首頁'!$B$7/12/100,"")</f>
      </c>
      <c r="D215" s="42">
        <f>IF((ROW()-3)&lt;=('首頁'!$B$8*12),IF(ROW()-3=('首頁'!$B$8*12),G215,MIN(G215,'首頁'!$B$13-C215)),"")</f>
      </c>
      <c r="E215" s="42">
        <f>IF((ROW()-3)&lt;=('首頁'!$B$8*12),G215-D215,"")</f>
      </c>
      <c r="G215" s="39">
        <f>IF((ROW()-3)&lt;=('首頁'!$B$8*12),E214,"")</f>
      </c>
    </row>
    <row r="216" ht="22" customHeight="1" spans="1:7" x14ac:dyDescent="0.25">
      <c r="A216" s="36">
        <f>IF((ROW()-3)&lt;=('首頁'!$B$8*12),ROW()-3,"")</f>
      </c>
      <c r="B216" s="37">
        <f>IF((ROW()-3)&lt;=('首頁'!$B$8*12),C216+D216,"")</f>
      </c>
      <c r="C216" s="38">
        <f>IF((ROW()-3)&lt;=('首頁'!$B$8*12),G216*'首頁'!$B$7/12/100,"")</f>
      </c>
      <c r="D216" s="38">
        <f>IF((ROW()-3)&lt;=('首頁'!$B$8*12),IF(ROW()-3=('首頁'!$B$8*12),G216,MIN(G216,'首頁'!$B$13-C216)),"")</f>
      </c>
      <c r="E216" s="38">
        <f>IF((ROW()-3)&lt;=('首頁'!$B$8*12),G216-D216,"")</f>
      </c>
      <c r="G216" s="39">
        <f>IF((ROW()-3)&lt;=('首頁'!$B$8*12),E215,"")</f>
      </c>
    </row>
    <row r="217" ht="22" customHeight="1" spans="1:7" x14ac:dyDescent="0.25">
      <c r="A217" s="40">
        <f>IF((ROW()-3)&lt;=('首頁'!$B$8*12),ROW()-3,"")</f>
      </c>
      <c r="B217" s="41">
        <f>IF((ROW()-3)&lt;=('首頁'!$B$8*12),C217+D217,"")</f>
      </c>
      <c r="C217" s="42">
        <f>IF((ROW()-3)&lt;=('首頁'!$B$8*12),G217*'首頁'!$B$7/12/100,"")</f>
      </c>
      <c r="D217" s="42">
        <f>IF((ROW()-3)&lt;=('首頁'!$B$8*12),IF(ROW()-3=('首頁'!$B$8*12),G217,MIN(G217,'首頁'!$B$13-C217)),"")</f>
      </c>
      <c r="E217" s="42">
        <f>IF((ROW()-3)&lt;=('首頁'!$B$8*12),G217-D217,"")</f>
      </c>
      <c r="G217" s="39">
        <f>IF((ROW()-3)&lt;=('首頁'!$B$8*12),E216,"")</f>
      </c>
    </row>
    <row r="218" ht="22" customHeight="1" spans="1:7" x14ac:dyDescent="0.25">
      <c r="A218" s="36">
        <f>IF((ROW()-3)&lt;=('首頁'!$B$8*12),ROW()-3,"")</f>
      </c>
      <c r="B218" s="37">
        <f>IF((ROW()-3)&lt;=('首頁'!$B$8*12),C218+D218,"")</f>
      </c>
      <c r="C218" s="38">
        <f>IF((ROW()-3)&lt;=('首頁'!$B$8*12),G218*'首頁'!$B$7/12/100,"")</f>
      </c>
      <c r="D218" s="38">
        <f>IF((ROW()-3)&lt;=('首頁'!$B$8*12),IF(ROW()-3=('首頁'!$B$8*12),G218,MIN(G218,'首頁'!$B$13-C218)),"")</f>
      </c>
      <c r="E218" s="38">
        <f>IF((ROW()-3)&lt;=('首頁'!$B$8*12),G218-D218,"")</f>
      </c>
      <c r="G218" s="39">
        <f>IF((ROW()-3)&lt;=('首頁'!$B$8*12),E217,"")</f>
      </c>
    </row>
    <row r="219" ht="22" customHeight="1" spans="1:7" x14ac:dyDescent="0.25">
      <c r="A219" s="40">
        <f>IF((ROW()-3)&lt;=('首頁'!$B$8*12),ROW()-3,"")</f>
      </c>
      <c r="B219" s="41">
        <f>IF((ROW()-3)&lt;=('首頁'!$B$8*12),C219+D219,"")</f>
      </c>
      <c r="C219" s="42">
        <f>IF((ROW()-3)&lt;=('首頁'!$B$8*12),G219*'首頁'!$B$7/12/100,"")</f>
      </c>
      <c r="D219" s="42">
        <f>IF((ROW()-3)&lt;=('首頁'!$B$8*12),IF(ROW()-3=('首頁'!$B$8*12),G219,MIN(G219,'首頁'!$B$13-C219)),"")</f>
      </c>
      <c r="E219" s="42">
        <f>IF((ROW()-3)&lt;=('首頁'!$B$8*12),G219-D219,"")</f>
      </c>
      <c r="G219" s="39">
        <f>IF((ROW()-3)&lt;=('首頁'!$B$8*12),E218,"")</f>
      </c>
    </row>
    <row r="220" ht="22" customHeight="1" spans="1:7" x14ac:dyDescent="0.25">
      <c r="A220" s="36">
        <f>IF((ROW()-3)&lt;=('首頁'!$B$8*12),ROW()-3,"")</f>
      </c>
      <c r="B220" s="37">
        <f>IF((ROW()-3)&lt;=('首頁'!$B$8*12),C220+D220,"")</f>
      </c>
      <c r="C220" s="38">
        <f>IF((ROW()-3)&lt;=('首頁'!$B$8*12),G220*'首頁'!$B$7/12/100,"")</f>
      </c>
      <c r="D220" s="38">
        <f>IF((ROW()-3)&lt;=('首頁'!$B$8*12),IF(ROW()-3=('首頁'!$B$8*12),G220,MIN(G220,'首頁'!$B$13-C220)),"")</f>
      </c>
      <c r="E220" s="38">
        <f>IF((ROW()-3)&lt;=('首頁'!$B$8*12),G220-D220,"")</f>
      </c>
      <c r="G220" s="39">
        <f>IF((ROW()-3)&lt;=('首頁'!$B$8*12),E219,"")</f>
      </c>
    </row>
    <row r="221" ht="22" customHeight="1" spans="1:7" x14ac:dyDescent="0.25">
      <c r="A221" s="40">
        <f>IF((ROW()-3)&lt;=('首頁'!$B$8*12),ROW()-3,"")</f>
      </c>
      <c r="B221" s="41">
        <f>IF((ROW()-3)&lt;=('首頁'!$B$8*12),C221+D221,"")</f>
      </c>
      <c r="C221" s="42">
        <f>IF((ROW()-3)&lt;=('首頁'!$B$8*12),G221*'首頁'!$B$7/12/100,"")</f>
      </c>
      <c r="D221" s="42">
        <f>IF((ROW()-3)&lt;=('首頁'!$B$8*12),IF(ROW()-3=('首頁'!$B$8*12),G221,MIN(G221,'首頁'!$B$13-C221)),"")</f>
      </c>
      <c r="E221" s="42">
        <f>IF((ROW()-3)&lt;=('首頁'!$B$8*12),G221-D221,"")</f>
      </c>
      <c r="G221" s="39">
        <f>IF((ROW()-3)&lt;=('首頁'!$B$8*12),E220,"")</f>
      </c>
    </row>
    <row r="222" ht="22" customHeight="1" spans="1:7" x14ac:dyDescent="0.25">
      <c r="A222" s="36">
        <f>IF((ROW()-3)&lt;=('首頁'!$B$8*12),ROW()-3,"")</f>
      </c>
      <c r="B222" s="37">
        <f>IF((ROW()-3)&lt;=('首頁'!$B$8*12),C222+D222,"")</f>
      </c>
      <c r="C222" s="38">
        <f>IF((ROW()-3)&lt;=('首頁'!$B$8*12),G222*'首頁'!$B$7/12/100,"")</f>
      </c>
      <c r="D222" s="38">
        <f>IF((ROW()-3)&lt;=('首頁'!$B$8*12),IF(ROW()-3=('首頁'!$B$8*12),G222,MIN(G222,'首頁'!$B$13-C222)),"")</f>
      </c>
      <c r="E222" s="38">
        <f>IF((ROW()-3)&lt;=('首頁'!$B$8*12),G222-D222,"")</f>
      </c>
      <c r="G222" s="39">
        <f>IF((ROW()-3)&lt;=('首頁'!$B$8*12),E221,"")</f>
      </c>
    </row>
    <row r="223" ht="22" customHeight="1" spans="1:7" x14ac:dyDescent="0.25">
      <c r="A223" s="40">
        <f>IF((ROW()-3)&lt;=('首頁'!$B$8*12),ROW()-3,"")</f>
      </c>
      <c r="B223" s="41">
        <f>IF((ROW()-3)&lt;=('首頁'!$B$8*12),C223+D223,"")</f>
      </c>
      <c r="C223" s="42">
        <f>IF((ROW()-3)&lt;=('首頁'!$B$8*12),G223*'首頁'!$B$7/12/100,"")</f>
      </c>
      <c r="D223" s="42">
        <f>IF((ROW()-3)&lt;=('首頁'!$B$8*12),IF(ROW()-3=('首頁'!$B$8*12),G223,MIN(G223,'首頁'!$B$13-C223)),"")</f>
      </c>
      <c r="E223" s="42">
        <f>IF((ROW()-3)&lt;=('首頁'!$B$8*12),G223-D223,"")</f>
      </c>
      <c r="G223" s="39">
        <f>IF((ROW()-3)&lt;=('首頁'!$B$8*12),E222,"")</f>
      </c>
    </row>
    <row r="224" ht="22" customHeight="1" spans="1:7" x14ac:dyDescent="0.25">
      <c r="A224" s="36">
        <f>IF((ROW()-3)&lt;=('首頁'!$B$8*12),ROW()-3,"")</f>
      </c>
      <c r="B224" s="37">
        <f>IF((ROW()-3)&lt;=('首頁'!$B$8*12),C224+D224,"")</f>
      </c>
      <c r="C224" s="38">
        <f>IF((ROW()-3)&lt;=('首頁'!$B$8*12),G224*'首頁'!$B$7/12/100,"")</f>
      </c>
      <c r="D224" s="38">
        <f>IF((ROW()-3)&lt;=('首頁'!$B$8*12),IF(ROW()-3=('首頁'!$B$8*12),G224,MIN(G224,'首頁'!$B$13-C224)),"")</f>
      </c>
      <c r="E224" s="38">
        <f>IF((ROW()-3)&lt;=('首頁'!$B$8*12),G224-D224,"")</f>
      </c>
      <c r="G224" s="39">
        <f>IF((ROW()-3)&lt;=('首頁'!$B$8*12),E223,"")</f>
      </c>
    </row>
    <row r="225" ht="22" customHeight="1" spans="1:7" x14ac:dyDescent="0.25">
      <c r="A225" s="40">
        <f>IF((ROW()-3)&lt;=('首頁'!$B$8*12),ROW()-3,"")</f>
      </c>
      <c r="B225" s="41">
        <f>IF((ROW()-3)&lt;=('首頁'!$B$8*12),C225+D225,"")</f>
      </c>
      <c r="C225" s="42">
        <f>IF((ROW()-3)&lt;=('首頁'!$B$8*12),G225*'首頁'!$B$7/12/100,"")</f>
      </c>
      <c r="D225" s="42">
        <f>IF((ROW()-3)&lt;=('首頁'!$B$8*12),IF(ROW()-3=('首頁'!$B$8*12),G225,MIN(G225,'首頁'!$B$13-C225)),"")</f>
      </c>
      <c r="E225" s="42">
        <f>IF((ROW()-3)&lt;=('首頁'!$B$8*12),G225-D225,"")</f>
      </c>
      <c r="G225" s="39">
        <f>IF((ROW()-3)&lt;=('首頁'!$B$8*12),E224,"")</f>
      </c>
    </row>
    <row r="226" ht="22" customHeight="1" spans="1:7" x14ac:dyDescent="0.25">
      <c r="A226" s="36">
        <f>IF((ROW()-3)&lt;=('首頁'!$B$8*12),ROW()-3,"")</f>
      </c>
      <c r="B226" s="37">
        <f>IF((ROW()-3)&lt;=('首頁'!$B$8*12),C226+D226,"")</f>
      </c>
      <c r="C226" s="38">
        <f>IF((ROW()-3)&lt;=('首頁'!$B$8*12),G226*'首頁'!$B$7/12/100,"")</f>
      </c>
      <c r="D226" s="38">
        <f>IF((ROW()-3)&lt;=('首頁'!$B$8*12),IF(ROW()-3=('首頁'!$B$8*12),G226,MIN(G226,'首頁'!$B$13-C226)),"")</f>
      </c>
      <c r="E226" s="38">
        <f>IF((ROW()-3)&lt;=('首頁'!$B$8*12),G226-D226,"")</f>
      </c>
      <c r="G226" s="39">
        <f>IF((ROW()-3)&lt;=('首頁'!$B$8*12),E225,"")</f>
      </c>
    </row>
    <row r="227" ht="22" customHeight="1" spans="1:7" x14ac:dyDescent="0.25">
      <c r="A227" s="40">
        <f>IF((ROW()-3)&lt;=('首頁'!$B$8*12),ROW()-3,"")</f>
      </c>
      <c r="B227" s="41">
        <f>IF((ROW()-3)&lt;=('首頁'!$B$8*12),C227+D227,"")</f>
      </c>
      <c r="C227" s="42">
        <f>IF((ROW()-3)&lt;=('首頁'!$B$8*12),G227*'首頁'!$B$7/12/100,"")</f>
      </c>
      <c r="D227" s="42">
        <f>IF((ROW()-3)&lt;=('首頁'!$B$8*12),IF(ROW()-3=('首頁'!$B$8*12),G227,MIN(G227,'首頁'!$B$13-C227)),"")</f>
      </c>
      <c r="E227" s="42">
        <f>IF((ROW()-3)&lt;=('首頁'!$B$8*12),G227-D227,"")</f>
      </c>
      <c r="G227" s="39">
        <f>IF((ROW()-3)&lt;=('首頁'!$B$8*12),E226,"")</f>
      </c>
    </row>
    <row r="228" ht="22" customHeight="1" spans="1:7" x14ac:dyDescent="0.25">
      <c r="A228" s="36">
        <f>IF((ROW()-3)&lt;=('首頁'!$B$8*12),ROW()-3,"")</f>
      </c>
      <c r="B228" s="37">
        <f>IF((ROW()-3)&lt;=('首頁'!$B$8*12),C228+D228,"")</f>
      </c>
      <c r="C228" s="38">
        <f>IF((ROW()-3)&lt;=('首頁'!$B$8*12),G228*'首頁'!$B$7/12/100,"")</f>
      </c>
      <c r="D228" s="38">
        <f>IF((ROW()-3)&lt;=('首頁'!$B$8*12),IF(ROW()-3=('首頁'!$B$8*12),G228,MIN(G228,'首頁'!$B$13-C228)),"")</f>
      </c>
      <c r="E228" s="38">
        <f>IF((ROW()-3)&lt;=('首頁'!$B$8*12),G228-D228,"")</f>
      </c>
      <c r="G228" s="39">
        <f>IF((ROW()-3)&lt;=('首頁'!$B$8*12),E227,"")</f>
      </c>
    </row>
    <row r="229" ht="22" customHeight="1" spans="1:7" x14ac:dyDescent="0.25">
      <c r="A229" s="40">
        <f>IF((ROW()-3)&lt;=('首頁'!$B$8*12),ROW()-3,"")</f>
      </c>
      <c r="B229" s="41">
        <f>IF((ROW()-3)&lt;=('首頁'!$B$8*12),C229+D229,"")</f>
      </c>
      <c r="C229" s="42">
        <f>IF((ROW()-3)&lt;=('首頁'!$B$8*12),G229*'首頁'!$B$7/12/100,"")</f>
      </c>
      <c r="D229" s="42">
        <f>IF((ROW()-3)&lt;=('首頁'!$B$8*12),IF(ROW()-3=('首頁'!$B$8*12),G229,MIN(G229,'首頁'!$B$13-C229)),"")</f>
      </c>
      <c r="E229" s="42">
        <f>IF((ROW()-3)&lt;=('首頁'!$B$8*12),G229-D229,"")</f>
      </c>
      <c r="G229" s="39">
        <f>IF((ROW()-3)&lt;=('首頁'!$B$8*12),E228,"")</f>
      </c>
    </row>
    <row r="230" ht="22" customHeight="1" spans="1:7" x14ac:dyDescent="0.25">
      <c r="A230" s="36">
        <f>IF((ROW()-3)&lt;=('首頁'!$B$8*12),ROW()-3,"")</f>
      </c>
      <c r="B230" s="37">
        <f>IF((ROW()-3)&lt;=('首頁'!$B$8*12),C230+D230,"")</f>
      </c>
      <c r="C230" s="38">
        <f>IF((ROW()-3)&lt;=('首頁'!$B$8*12),G230*'首頁'!$B$7/12/100,"")</f>
      </c>
      <c r="D230" s="38">
        <f>IF((ROW()-3)&lt;=('首頁'!$B$8*12),IF(ROW()-3=('首頁'!$B$8*12),G230,MIN(G230,'首頁'!$B$13-C230)),"")</f>
      </c>
      <c r="E230" s="38">
        <f>IF((ROW()-3)&lt;=('首頁'!$B$8*12),G230-D230,"")</f>
      </c>
      <c r="G230" s="39">
        <f>IF((ROW()-3)&lt;=('首頁'!$B$8*12),E229,"")</f>
      </c>
    </row>
    <row r="231" ht="22" customHeight="1" spans="1:7" x14ac:dyDescent="0.25">
      <c r="A231" s="40">
        <f>IF((ROW()-3)&lt;=('首頁'!$B$8*12),ROW()-3,"")</f>
      </c>
      <c r="B231" s="41">
        <f>IF((ROW()-3)&lt;=('首頁'!$B$8*12),C231+D231,"")</f>
      </c>
      <c r="C231" s="42">
        <f>IF((ROW()-3)&lt;=('首頁'!$B$8*12),G231*'首頁'!$B$7/12/100,"")</f>
      </c>
      <c r="D231" s="42">
        <f>IF((ROW()-3)&lt;=('首頁'!$B$8*12),IF(ROW()-3=('首頁'!$B$8*12),G231,MIN(G231,'首頁'!$B$13-C231)),"")</f>
      </c>
      <c r="E231" s="42">
        <f>IF((ROW()-3)&lt;=('首頁'!$B$8*12),G231-D231,"")</f>
      </c>
      <c r="G231" s="39">
        <f>IF((ROW()-3)&lt;=('首頁'!$B$8*12),E230,"")</f>
      </c>
    </row>
    <row r="232" ht="22" customHeight="1" spans="1:7" x14ac:dyDescent="0.25">
      <c r="A232" s="36">
        <f>IF((ROW()-3)&lt;=('首頁'!$B$8*12),ROW()-3,"")</f>
      </c>
      <c r="B232" s="37">
        <f>IF((ROW()-3)&lt;=('首頁'!$B$8*12),C232+D232,"")</f>
      </c>
      <c r="C232" s="38">
        <f>IF((ROW()-3)&lt;=('首頁'!$B$8*12),G232*'首頁'!$B$7/12/100,"")</f>
      </c>
      <c r="D232" s="38">
        <f>IF((ROW()-3)&lt;=('首頁'!$B$8*12),IF(ROW()-3=('首頁'!$B$8*12),G232,MIN(G232,'首頁'!$B$13-C232)),"")</f>
      </c>
      <c r="E232" s="38">
        <f>IF((ROW()-3)&lt;=('首頁'!$B$8*12),G232-D232,"")</f>
      </c>
      <c r="G232" s="39">
        <f>IF((ROW()-3)&lt;=('首頁'!$B$8*12),E231,"")</f>
      </c>
    </row>
    <row r="233" ht="22" customHeight="1" spans="1:7" x14ac:dyDescent="0.25">
      <c r="A233" s="40">
        <f>IF((ROW()-3)&lt;=('首頁'!$B$8*12),ROW()-3,"")</f>
      </c>
      <c r="B233" s="41">
        <f>IF((ROW()-3)&lt;=('首頁'!$B$8*12),C233+D233,"")</f>
      </c>
      <c r="C233" s="42">
        <f>IF((ROW()-3)&lt;=('首頁'!$B$8*12),G233*'首頁'!$B$7/12/100,"")</f>
      </c>
      <c r="D233" s="42">
        <f>IF((ROW()-3)&lt;=('首頁'!$B$8*12),IF(ROW()-3=('首頁'!$B$8*12),G233,MIN(G233,'首頁'!$B$13-C233)),"")</f>
      </c>
      <c r="E233" s="42">
        <f>IF((ROW()-3)&lt;=('首頁'!$B$8*12),G233-D233,"")</f>
      </c>
      <c r="G233" s="39">
        <f>IF((ROW()-3)&lt;=('首頁'!$B$8*12),E232,"")</f>
      </c>
    </row>
    <row r="234" ht="22" customHeight="1" spans="1:7" x14ac:dyDescent="0.25">
      <c r="A234" s="36">
        <f>IF((ROW()-3)&lt;=('首頁'!$B$8*12),ROW()-3,"")</f>
      </c>
      <c r="B234" s="37">
        <f>IF((ROW()-3)&lt;=('首頁'!$B$8*12),C234+D234,"")</f>
      </c>
      <c r="C234" s="38">
        <f>IF((ROW()-3)&lt;=('首頁'!$B$8*12),G234*'首頁'!$B$7/12/100,"")</f>
      </c>
      <c r="D234" s="38">
        <f>IF((ROW()-3)&lt;=('首頁'!$B$8*12),IF(ROW()-3=('首頁'!$B$8*12),G234,MIN(G234,'首頁'!$B$13-C234)),"")</f>
      </c>
      <c r="E234" s="38">
        <f>IF((ROW()-3)&lt;=('首頁'!$B$8*12),G234-D234,"")</f>
      </c>
      <c r="G234" s="39">
        <f>IF((ROW()-3)&lt;=('首頁'!$B$8*12),E233,"")</f>
      </c>
    </row>
    <row r="235" ht="22" customHeight="1" spans="1:7" x14ac:dyDescent="0.25">
      <c r="A235" s="40">
        <f>IF((ROW()-3)&lt;=('首頁'!$B$8*12),ROW()-3,"")</f>
      </c>
      <c r="B235" s="41">
        <f>IF((ROW()-3)&lt;=('首頁'!$B$8*12),C235+D235,"")</f>
      </c>
      <c r="C235" s="42">
        <f>IF((ROW()-3)&lt;=('首頁'!$B$8*12),G235*'首頁'!$B$7/12/100,"")</f>
      </c>
      <c r="D235" s="42">
        <f>IF((ROW()-3)&lt;=('首頁'!$B$8*12),IF(ROW()-3=('首頁'!$B$8*12),G235,MIN(G235,'首頁'!$B$13-C235)),"")</f>
      </c>
      <c r="E235" s="42">
        <f>IF((ROW()-3)&lt;=('首頁'!$B$8*12),G235-D235,"")</f>
      </c>
      <c r="G235" s="39">
        <f>IF((ROW()-3)&lt;=('首頁'!$B$8*12),E234,"")</f>
      </c>
    </row>
    <row r="236" ht="22" customHeight="1" spans="1:7" x14ac:dyDescent="0.25">
      <c r="A236" s="36">
        <f>IF((ROW()-3)&lt;=('首頁'!$B$8*12),ROW()-3,"")</f>
      </c>
      <c r="B236" s="37">
        <f>IF((ROW()-3)&lt;=('首頁'!$B$8*12),C236+D236,"")</f>
      </c>
      <c r="C236" s="38">
        <f>IF((ROW()-3)&lt;=('首頁'!$B$8*12),G236*'首頁'!$B$7/12/100,"")</f>
      </c>
      <c r="D236" s="38">
        <f>IF((ROW()-3)&lt;=('首頁'!$B$8*12),IF(ROW()-3=('首頁'!$B$8*12),G236,MIN(G236,'首頁'!$B$13-C236)),"")</f>
      </c>
      <c r="E236" s="38">
        <f>IF((ROW()-3)&lt;=('首頁'!$B$8*12),G236-D236,"")</f>
      </c>
      <c r="G236" s="39">
        <f>IF((ROW()-3)&lt;=('首頁'!$B$8*12),E235,"")</f>
      </c>
    </row>
    <row r="237" ht="22" customHeight="1" spans="1:7" x14ac:dyDescent="0.25">
      <c r="A237" s="40">
        <f>IF((ROW()-3)&lt;=('首頁'!$B$8*12),ROW()-3,"")</f>
      </c>
      <c r="B237" s="41">
        <f>IF((ROW()-3)&lt;=('首頁'!$B$8*12),C237+D237,"")</f>
      </c>
      <c r="C237" s="42">
        <f>IF((ROW()-3)&lt;=('首頁'!$B$8*12),G237*'首頁'!$B$7/12/100,"")</f>
      </c>
      <c r="D237" s="42">
        <f>IF((ROW()-3)&lt;=('首頁'!$B$8*12),IF(ROW()-3=('首頁'!$B$8*12),G237,MIN(G237,'首頁'!$B$13-C237)),"")</f>
      </c>
      <c r="E237" s="42">
        <f>IF((ROW()-3)&lt;=('首頁'!$B$8*12),G237-D237,"")</f>
      </c>
      <c r="G237" s="39">
        <f>IF((ROW()-3)&lt;=('首頁'!$B$8*12),E236,"")</f>
      </c>
    </row>
    <row r="238" ht="22" customHeight="1" spans="1:7" x14ac:dyDescent="0.25">
      <c r="A238" s="36">
        <f>IF((ROW()-3)&lt;=('首頁'!$B$8*12),ROW()-3,"")</f>
      </c>
      <c r="B238" s="37">
        <f>IF((ROW()-3)&lt;=('首頁'!$B$8*12),C238+D238,"")</f>
      </c>
      <c r="C238" s="38">
        <f>IF((ROW()-3)&lt;=('首頁'!$B$8*12),G238*'首頁'!$B$7/12/100,"")</f>
      </c>
      <c r="D238" s="38">
        <f>IF((ROW()-3)&lt;=('首頁'!$B$8*12),IF(ROW()-3=('首頁'!$B$8*12),G238,MIN(G238,'首頁'!$B$13-C238)),"")</f>
      </c>
      <c r="E238" s="38">
        <f>IF((ROW()-3)&lt;=('首頁'!$B$8*12),G238-D238,"")</f>
      </c>
      <c r="G238" s="39">
        <f>IF((ROW()-3)&lt;=('首頁'!$B$8*12),E237,"")</f>
      </c>
    </row>
    <row r="239" ht="22" customHeight="1" spans="1:7" x14ac:dyDescent="0.25">
      <c r="A239" s="40">
        <f>IF((ROW()-3)&lt;=('首頁'!$B$8*12),ROW()-3,"")</f>
      </c>
      <c r="B239" s="41">
        <f>IF((ROW()-3)&lt;=('首頁'!$B$8*12),C239+D239,"")</f>
      </c>
      <c r="C239" s="42">
        <f>IF((ROW()-3)&lt;=('首頁'!$B$8*12),G239*'首頁'!$B$7/12/100,"")</f>
      </c>
      <c r="D239" s="42">
        <f>IF((ROW()-3)&lt;=('首頁'!$B$8*12),IF(ROW()-3=('首頁'!$B$8*12),G239,MIN(G239,'首頁'!$B$13-C239)),"")</f>
      </c>
      <c r="E239" s="42">
        <f>IF((ROW()-3)&lt;=('首頁'!$B$8*12),G239-D239,"")</f>
      </c>
      <c r="G239" s="39">
        <f>IF((ROW()-3)&lt;=('首頁'!$B$8*12),E238,"")</f>
      </c>
    </row>
    <row r="240" ht="22" customHeight="1" spans="1:7" x14ac:dyDescent="0.25">
      <c r="A240" s="36">
        <f>IF((ROW()-3)&lt;=('首頁'!$B$8*12),ROW()-3,"")</f>
      </c>
      <c r="B240" s="37">
        <f>IF((ROW()-3)&lt;=('首頁'!$B$8*12),C240+D240,"")</f>
      </c>
      <c r="C240" s="38">
        <f>IF((ROW()-3)&lt;=('首頁'!$B$8*12),G240*'首頁'!$B$7/12/100,"")</f>
      </c>
      <c r="D240" s="38">
        <f>IF((ROW()-3)&lt;=('首頁'!$B$8*12),IF(ROW()-3=('首頁'!$B$8*12),G240,MIN(G240,'首頁'!$B$13-C240)),"")</f>
      </c>
      <c r="E240" s="38">
        <f>IF((ROW()-3)&lt;=('首頁'!$B$8*12),G240-D240,"")</f>
      </c>
      <c r="G240" s="39">
        <f>IF((ROW()-3)&lt;=('首頁'!$B$8*12),E239,"")</f>
      </c>
    </row>
    <row r="241" ht="22" customHeight="1" spans="1:7" x14ac:dyDescent="0.25">
      <c r="A241" s="40">
        <f>IF((ROW()-3)&lt;=('首頁'!$B$8*12),ROW()-3,"")</f>
      </c>
      <c r="B241" s="41">
        <f>IF((ROW()-3)&lt;=('首頁'!$B$8*12),C241+D241,"")</f>
      </c>
      <c r="C241" s="42">
        <f>IF((ROW()-3)&lt;=('首頁'!$B$8*12),G241*'首頁'!$B$7/12/100,"")</f>
      </c>
      <c r="D241" s="42">
        <f>IF((ROW()-3)&lt;=('首頁'!$B$8*12),IF(ROW()-3=('首頁'!$B$8*12),G241,MIN(G241,'首頁'!$B$13-C241)),"")</f>
      </c>
      <c r="E241" s="42">
        <f>IF((ROW()-3)&lt;=('首頁'!$B$8*12),G241-D241,"")</f>
      </c>
      <c r="G241" s="39">
        <f>IF((ROW()-3)&lt;=('首頁'!$B$8*12),E240,"")</f>
      </c>
    </row>
    <row r="242" ht="22" customHeight="1" spans="1:7" x14ac:dyDescent="0.25">
      <c r="A242" s="36">
        <f>IF((ROW()-3)&lt;=('首頁'!$B$8*12),ROW()-3,"")</f>
      </c>
      <c r="B242" s="37">
        <f>IF((ROW()-3)&lt;=('首頁'!$B$8*12),C242+D242,"")</f>
      </c>
      <c r="C242" s="38">
        <f>IF((ROW()-3)&lt;=('首頁'!$B$8*12),G242*'首頁'!$B$7/12/100,"")</f>
      </c>
      <c r="D242" s="38">
        <f>IF((ROW()-3)&lt;=('首頁'!$B$8*12),IF(ROW()-3=('首頁'!$B$8*12),G242,MIN(G242,'首頁'!$B$13-C242)),"")</f>
      </c>
      <c r="E242" s="38">
        <f>IF((ROW()-3)&lt;=('首頁'!$B$8*12),G242-D242,"")</f>
      </c>
      <c r="G242" s="39">
        <f>IF((ROW()-3)&lt;=('首頁'!$B$8*12),E241,"")</f>
      </c>
    </row>
    <row r="243" ht="22" customHeight="1" spans="1:7" x14ac:dyDescent="0.25">
      <c r="A243" s="40">
        <f>IF((ROW()-3)&lt;=('首頁'!$B$8*12),ROW()-3,"")</f>
      </c>
      <c r="B243" s="41">
        <f>IF((ROW()-3)&lt;=('首頁'!$B$8*12),C243+D243,"")</f>
      </c>
      <c r="C243" s="42">
        <f>IF((ROW()-3)&lt;=('首頁'!$B$8*12),G243*'首頁'!$B$7/12/100,"")</f>
      </c>
      <c r="D243" s="42">
        <f>IF((ROW()-3)&lt;=('首頁'!$B$8*12),IF(ROW()-3=('首頁'!$B$8*12),G243,MIN(G243,'首頁'!$B$13-C243)),"")</f>
      </c>
      <c r="E243" s="42">
        <f>IF((ROW()-3)&lt;=('首頁'!$B$8*12),G243-D243,"")</f>
      </c>
      <c r="G243" s="39">
        <f>IF((ROW()-3)&lt;=('首頁'!$B$8*12),E242,"")</f>
      </c>
    </row>
    <row r="244" ht="22" customHeight="1" spans="1:7" x14ac:dyDescent="0.25">
      <c r="A244" s="36">
        <f>IF((ROW()-3)&lt;=('首頁'!$B$8*12),ROW()-3,"")</f>
      </c>
      <c r="B244" s="37">
        <f>IF((ROW()-3)&lt;=('首頁'!$B$8*12),C244+D244,"")</f>
      </c>
      <c r="C244" s="38">
        <f>IF((ROW()-3)&lt;=('首頁'!$B$8*12),G244*'首頁'!$B$7/12/100,"")</f>
      </c>
      <c r="D244" s="38">
        <f>IF((ROW()-3)&lt;=('首頁'!$B$8*12),IF(ROW()-3=('首頁'!$B$8*12),G244,MIN(G244,'首頁'!$B$13-C244)),"")</f>
      </c>
      <c r="E244" s="38">
        <f>IF((ROW()-3)&lt;=('首頁'!$B$8*12),G244-D244,"")</f>
      </c>
      <c r="G244" s="39">
        <f>IF((ROW()-3)&lt;=('首頁'!$B$8*12),E243,"")</f>
      </c>
    </row>
    <row r="245" ht="22" customHeight="1" spans="1:7" x14ac:dyDescent="0.25">
      <c r="A245" s="40">
        <f>IF((ROW()-3)&lt;=('首頁'!$B$8*12),ROW()-3,"")</f>
      </c>
      <c r="B245" s="41">
        <f>IF((ROW()-3)&lt;=('首頁'!$B$8*12),C245+D245,"")</f>
      </c>
      <c r="C245" s="42">
        <f>IF((ROW()-3)&lt;=('首頁'!$B$8*12),G245*'首頁'!$B$7/12/100,"")</f>
      </c>
      <c r="D245" s="42">
        <f>IF((ROW()-3)&lt;=('首頁'!$B$8*12),IF(ROW()-3=('首頁'!$B$8*12),G245,MIN(G245,'首頁'!$B$13-C245)),"")</f>
      </c>
      <c r="E245" s="42">
        <f>IF((ROW()-3)&lt;=('首頁'!$B$8*12),G245-D245,"")</f>
      </c>
      <c r="G245" s="39">
        <f>IF((ROW()-3)&lt;=('首頁'!$B$8*12),E244,"")</f>
      </c>
    </row>
    <row r="246" ht="22" customHeight="1" spans="1:7" x14ac:dyDescent="0.25">
      <c r="A246" s="36">
        <f>IF((ROW()-3)&lt;=('首頁'!$B$8*12),ROW()-3,"")</f>
      </c>
      <c r="B246" s="37">
        <f>IF((ROW()-3)&lt;=('首頁'!$B$8*12),C246+D246,"")</f>
      </c>
      <c r="C246" s="38">
        <f>IF((ROW()-3)&lt;=('首頁'!$B$8*12),G246*'首頁'!$B$7/12/100,"")</f>
      </c>
      <c r="D246" s="38">
        <f>IF((ROW()-3)&lt;=('首頁'!$B$8*12),IF(ROW()-3=('首頁'!$B$8*12),G246,MIN(G246,'首頁'!$B$13-C246)),"")</f>
      </c>
      <c r="E246" s="38">
        <f>IF((ROW()-3)&lt;=('首頁'!$B$8*12),G246-D246,"")</f>
      </c>
      <c r="G246" s="39">
        <f>IF((ROW()-3)&lt;=('首頁'!$B$8*12),E245,"")</f>
      </c>
    </row>
    <row r="247" ht="22" customHeight="1" spans="1:7" x14ac:dyDescent="0.25">
      <c r="A247" s="40">
        <f>IF((ROW()-3)&lt;=('首頁'!$B$8*12),ROW()-3,"")</f>
      </c>
      <c r="B247" s="41">
        <f>IF((ROW()-3)&lt;=('首頁'!$B$8*12),C247+D247,"")</f>
      </c>
      <c r="C247" s="42">
        <f>IF((ROW()-3)&lt;=('首頁'!$B$8*12),G247*'首頁'!$B$7/12/100,"")</f>
      </c>
      <c r="D247" s="42">
        <f>IF((ROW()-3)&lt;=('首頁'!$B$8*12),IF(ROW()-3=('首頁'!$B$8*12),G247,MIN(G247,'首頁'!$B$13-C247)),"")</f>
      </c>
      <c r="E247" s="42">
        <f>IF((ROW()-3)&lt;=('首頁'!$B$8*12),G247-D247,"")</f>
      </c>
      <c r="G247" s="39">
        <f>IF((ROW()-3)&lt;=('首頁'!$B$8*12),E246,"")</f>
      </c>
    </row>
    <row r="248" ht="22" customHeight="1" spans="1:7" x14ac:dyDescent="0.25">
      <c r="A248" s="36">
        <f>IF((ROW()-3)&lt;=('首頁'!$B$8*12),ROW()-3,"")</f>
      </c>
      <c r="B248" s="37">
        <f>IF((ROW()-3)&lt;=('首頁'!$B$8*12),C248+D248,"")</f>
      </c>
      <c r="C248" s="38">
        <f>IF((ROW()-3)&lt;=('首頁'!$B$8*12),G248*'首頁'!$B$7/12/100,"")</f>
      </c>
      <c r="D248" s="38">
        <f>IF((ROW()-3)&lt;=('首頁'!$B$8*12),IF(ROW()-3=('首頁'!$B$8*12),G248,MIN(G248,'首頁'!$B$13-C248)),"")</f>
      </c>
      <c r="E248" s="38">
        <f>IF((ROW()-3)&lt;=('首頁'!$B$8*12),G248-D248,"")</f>
      </c>
      <c r="G248" s="39">
        <f>IF((ROW()-3)&lt;=('首頁'!$B$8*12),E247,"")</f>
      </c>
    </row>
    <row r="249" ht="22" customHeight="1" spans="1:7" x14ac:dyDescent="0.25">
      <c r="A249" s="40">
        <f>IF((ROW()-3)&lt;=('首頁'!$B$8*12),ROW()-3,"")</f>
      </c>
      <c r="B249" s="41">
        <f>IF((ROW()-3)&lt;=('首頁'!$B$8*12),C249+D249,"")</f>
      </c>
      <c r="C249" s="42">
        <f>IF((ROW()-3)&lt;=('首頁'!$B$8*12),G249*'首頁'!$B$7/12/100,"")</f>
      </c>
      <c r="D249" s="42">
        <f>IF((ROW()-3)&lt;=('首頁'!$B$8*12),IF(ROW()-3=('首頁'!$B$8*12),G249,MIN(G249,'首頁'!$B$13-C249)),"")</f>
      </c>
      <c r="E249" s="42">
        <f>IF((ROW()-3)&lt;=('首頁'!$B$8*12),G249-D249,"")</f>
      </c>
      <c r="G249" s="39">
        <f>IF((ROW()-3)&lt;=('首頁'!$B$8*12),E248,"")</f>
      </c>
    </row>
    <row r="250" ht="22" customHeight="1" spans="1:7" x14ac:dyDescent="0.25">
      <c r="A250" s="36">
        <f>IF((ROW()-3)&lt;=('首頁'!$B$8*12),ROW()-3,"")</f>
      </c>
      <c r="B250" s="37">
        <f>IF((ROW()-3)&lt;=('首頁'!$B$8*12),C250+D250,"")</f>
      </c>
      <c r="C250" s="38">
        <f>IF((ROW()-3)&lt;=('首頁'!$B$8*12),G250*'首頁'!$B$7/12/100,"")</f>
      </c>
      <c r="D250" s="38">
        <f>IF((ROW()-3)&lt;=('首頁'!$B$8*12),IF(ROW()-3=('首頁'!$B$8*12),G250,MIN(G250,'首頁'!$B$13-C250)),"")</f>
      </c>
      <c r="E250" s="38">
        <f>IF((ROW()-3)&lt;=('首頁'!$B$8*12),G250-D250,"")</f>
      </c>
      <c r="G250" s="39">
        <f>IF((ROW()-3)&lt;=('首頁'!$B$8*12),E249,"")</f>
      </c>
    </row>
    <row r="251" ht="22" customHeight="1" spans="1:7" x14ac:dyDescent="0.25">
      <c r="A251" s="40">
        <f>IF((ROW()-3)&lt;=('首頁'!$B$8*12),ROW()-3,"")</f>
      </c>
      <c r="B251" s="41">
        <f>IF((ROW()-3)&lt;=('首頁'!$B$8*12),C251+D251,"")</f>
      </c>
      <c r="C251" s="42">
        <f>IF((ROW()-3)&lt;=('首頁'!$B$8*12),G251*'首頁'!$B$7/12/100,"")</f>
      </c>
      <c r="D251" s="42">
        <f>IF((ROW()-3)&lt;=('首頁'!$B$8*12),IF(ROW()-3=('首頁'!$B$8*12),G251,MIN(G251,'首頁'!$B$13-C251)),"")</f>
      </c>
      <c r="E251" s="42">
        <f>IF((ROW()-3)&lt;=('首頁'!$B$8*12),G251-D251,"")</f>
      </c>
      <c r="G251" s="39">
        <f>IF((ROW()-3)&lt;=('首頁'!$B$8*12),E250,"")</f>
      </c>
    </row>
    <row r="252" ht="22" customHeight="1" spans="1:7" x14ac:dyDescent="0.25">
      <c r="A252" s="36">
        <f>IF((ROW()-3)&lt;=('首頁'!$B$8*12),ROW()-3,"")</f>
      </c>
      <c r="B252" s="37">
        <f>IF((ROW()-3)&lt;=('首頁'!$B$8*12),C252+D252,"")</f>
      </c>
      <c r="C252" s="38">
        <f>IF((ROW()-3)&lt;=('首頁'!$B$8*12),G252*'首頁'!$B$7/12/100,"")</f>
      </c>
      <c r="D252" s="38">
        <f>IF((ROW()-3)&lt;=('首頁'!$B$8*12),IF(ROW()-3=('首頁'!$B$8*12),G252,MIN(G252,'首頁'!$B$13-C252)),"")</f>
      </c>
      <c r="E252" s="38">
        <f>IF((ROW()-3)&lt;=('首頁'!$B$8*12),G252-D252,"")</f>
      </c>
      <c r="G252" s="39">
        <f>IF((ROW()-3)&lt;=('首頁'!$B$8*12),E251,"")</f>
      </c>
    </row>
    <row r="253" ht="22" customHeight="1" spans="1:7" x14ac:dyDescent="0.25">
      <c r="A253" s="40">
        <f>IF((ROW()-3)&lt;=('首頁'!$B$8*12),ROW()-3,"")</f>
      </c>
      <c r="B253" s="41">
        <f>IF((ROW()-3)&lt;=('首頁'!$B$8*12),C253+D253,"")</f>
      </c>
      <c r="C253" s="42">
        <f>IF((ROW()-3)&lt;=('首頁'!$B$8*12),G253*'首頁'!$B$7/12/100,"")</f>
      </c>
      <c r="D253" s="42">
        <f>IF((ROW()-3)&lt;=('首頁'!$B$8*12),IF(ROW()-3=('首頁'!$B$8*12),G253,MIN(G253,'首頁'!$B$13-C253)),"")</f>
      </c>
      <c r="E253" s="42">
        <f>IF((ROW()-3)&lt;=('首頁'!$B$8*12),G253-D253,"")</f>
      </c>
      <c r="G253" s="39">
        <f>IF((ROW()-3)&lt;=('首頁'!$B$8*12),E252,"")</f>
      </c>
    </row>
    <row r="254" ht="22" customHeight="1" spans="1:7" x14ac:dyDescent="0.25">
      <c r="A254" s="36">
        <f>IF((ROW()-3)&lt;=('首頁'!$B$8*12),ROW()-3,"")</f>
      </c>
      <c r="B254" s="37">
        <f>IF((ROW()-3)&lt;=('首頁'!$B$8*12),C254+D254,"")</f>
      </c>
      <c r="C254" s="38">
        <f>IF((ROW()-3)&lt;=('首頁'!$B$8*12),G254*'首頁'!$B$7/12/100,"")</f>
      </c>
      <c r="D254" s="38">
        <f>IF((ROW()-3)&lt;=('首頁'!$B$8*12),IF(ROW()-3=('首頁'!$B$8*12),G254,MIN(G254,'首頁'!$B$13-C254)),"")</f>
      </c>
      <c r="E254" s="38">
        <f>IF((ROW()-3)&lt;=('首頁'!$B$8*12),G254-D254,"")</f>
      </c>
      <c r="G254" s="39">
        <f>IF((ROW()-3)&lt;=('首頁'!$B$8*12),E253,"")</f>
      </c>
    </row>
    <row r="255" ht="22" customHeight="1" spans="1:7" x14ac:dyDescent="0.25">
      <c r="A255" s="40">
        <f>IF((ROW()-3)&lt;=('首頁'!$B$8*12),ROW()-3,"")</f>
      </c>
      <c r="B255" s="41">
        <f>IF((ROW()-3)&lt;=('首頁'!$B$8*12),C255+D255,"")</f>
      </c>
      <c r="C255" s="42">
        <f>IF((ROW()-3)&lt;=('首頁'!$B$8*12),G255*'首頁'!$B$7/12/100,"")</f>
      </c>
      <c r="D255" s="42">
        <f>IF((ROW()-3)&lt;=('首頁'!$B$8*12),IF(ROW()-3=('首頁'!$B$8*12),G255,MIN(G255,'首頁'!$B$13-C255)),"")</f>
      </c>
      <c r="E255" s="42">
        <f>IF((ROW()-3)&lt;=('首頁'!$B$8*12),G255-D255,"")</f>
      </c>
      <c r="G255" s="39">
        <f>IF((ROW()-3)&lt;=('首頁'!$B$8*12),E254,"")</f>
      </c>
    </row>
    <row r="256" ht="22" customHeight="1" spans="1:7" x14ac:dyDescent="0.25">
      <c r="A256" s="36">
        <f>IF((ROW()-3)&lt;=('首頁'!$B$8*12),ROW()-3,"")</f>
      </c>
      <c r="B256" s="37">
        <f>IF((ROW()-3)&lt;=('首頁'!$B$8*12),C256+D256,"")</f>
      </c>
      <c r="C256" s="38">
        <f>IF((ROW()-3)&lt;=('首頁'!$B$8*12),G256*'首頁'!$B$7/12/100,"")</f>
      </c>
      <c r="D256" s="38">
        <f>IF((ROW()-3)&lt;=('首頁'!$B$8*12),IF(ROW()-3=('首頁'!$B$8*12),G256,MIN(G256,'首頁'!$B$13-C256)),"")</f>
      </c>
      <c r="E256" s="38">
        <f>IF((ROW()-3)&lt;=('首頁'!$B$8*12),G256-D256,"")</f>
      </c>
      <c r="G256" s="39">
        <f>IF((ROW()-3)&lt;=('首頁'!$B$8*12),E255,"")</f>
      </c>
    </row>
    <row r="257" ht="22" customHeight="1" spans="1:7" x14ac:dyDescent="0.25">
      <c r="A257" s="40">
        <f>IF((ROW()-3)&lt;=('首頁'!$B$8*12),ROW()-3,"")</f>
      </c>
      <c r="B257" s="41">
        <f>IF((ROW()-3)&lt;=('首頁'!$B$8*12),C257+D257,"")</f>
      </c>
      <c r="C257" s="42">
        <f>IF((ROW()-3)&lt;=('首頁'!$B$8*12),G257*'首頁'!$B$7/12/100,"")</f>
      </c>
      <c r="D257" s="42">
        <f>IF((ROW()-3)&lt;=('首頁'!$B$8*12),IF(ROW()-3=('首頁'!$B$8*12),G257,MIN(G257,'首頁'!$B$13-C257)),"")</f>
      </c>
      <c r="E257" s="42">
        <f>IF((ROW()-3)&lt;=('首頁'!$B$8*12),G257-D257,"")</f>
      </c>
      <c r="G257" s="39">
        <f>IF((ROW()-3)&lt;=('首頁'!$B$8*12),E256,"")</f>
      </c>
    </row>
    <row r="258" ht="22" customHeight="1" spans="1:7" x14ac:dyDescent="0.25">
      <c r="A258" s="36">
        <f>IF((ROW()-3)&lt;=('首頁'!$B$8*12),ROW()-3,"")</f>
      </c>
      <c r="B258" s="37">
        <f>IF((ROW()-3)&lt;=('首頁'!$B$8*12),C258+D258,"")</f>
      </c>
      <c r="C258" s="38">
        <f>IF((ROW()-3)&lt;=('首頁'!$B$8*12),G258*'首頁'!$B$7/12/100,"")</f>
      </c>
      <c r="D258" s="38">
        <f>IF((ROW()-3)&lt;=('首頁'!$B$8*12),IF(ROW()-3=('首頁'!$B$8*12),G258,MIN(G258,'首頁'!$B$13-C258)),"")</f>
      </c>
      <c r="E258" s="38">
        <f>IF((ROW()-3)&lt;=('首頁'!$B$8*12),G258-D258,"")</f>
      </c>
      <c r="G258" s="39">
        <f>IF((ROW()-3)&lt;=('首頁'!$B$8*12),E257,"")</f>
      </c>
    </row>
    <row r="259" ht="22" customHeight="1" spans="1:7" x14ac:dyDescent="0.25">
      <c r="A259" s="40">
        <f>IF((ROW()-3)&lt;=('首頁'!$B$8*12),ROW()-3,"")</f>
      </c>
      <c r="B259" s="41">
        <f>IF((ROW()-3)&lt;=('首頁'!$B$8*12),C259+D259,"")</f>
      </c>
      <c r="C259" s="42">
        <f>IF((ROW()-3)&lt;=('首頁'!$B$8*12),G259*'首頁'!$B$7/12/100,"")</f>
      </c>
      <c r="D259" s="42">
        <f>IF((ROW()-3)&lt;=('首頁'!$B$8*12),IF(ROW()-3=('首頁'!$B$8*12),G259,MIN(G259,'首頁'!$B$13-C259)),"")</f>
      </c>
      <c r="E259" s="42">
        <f>IF((ROW()-3)&lt;=('首頁'!$B$8*12),G259-D259,"")</f>
      </c>
      <c r="G259" s="39">
        <f>IF((ROW()-3)&lt;=('首頁'!$B$8*12),E258,"")</f>
      </c>
    </row>
    <row r="260" ht="22" customHeight="1" spans="1:7" x14ac:dyDescent="0.25">
      <c r="A260" s="36">
        <f>IF((ROW()-3)&lt;=('首頁'!$B$8*12),ROW()-3,"")</f>
      </c>
      <c r="B260" s="37">
        <f>IF((ROW()-3)&lt;=('首頁'!$B$8*12),C260+D260,"")</f>
      </c>
      <c r="C260" s="38">
        <f>IF((ROW()-3)&lt;=('首頁'!$B$8*12),G260*'首頁'!$B$7/12/100,"")</f>
      </c>
      <c r="D260" s="38">
        <f>IF((ROW()-3)&lt;=('首頁'!$B$8*12),IF(ROW()-3=('首頁'!$B$8*12),G260,MIN(G260,'首頁'!$B$13-C260)),"")</f>
      </c>
      <c r="E260" s="38">
        <f>IF((ROW()-3)&lt;=('首頁'!$B$8*12),G260-D260,"")</f>
      </c>
      <c r="G260" s="39">
        <f>IF((ROW()-3)&lt;=('首頁'!$B$8*12),E259,"")</f>
      </c>
    </row>
    <row r="261" ht="22" customHeight="1" spans="1:7" x14ac:dyDescent="0.25">
      <c r="A261" s="40">
        <f>IF((ROW()-3)&lt;=('首頁'!$B$8*12),ROW()-3,"")</f>
      </c>
      <c r="B261" s="41">
        <f>IF((ROW()-3)&lt;=('首頁'!$B$8*12),C261+D261,"")</f>
      </c>
      <c r="C261" s="42">
        <f>IF((ROW()-3)&lt;=('首頁'!$B$8*12),G261*'首頁'!$B$7/12/100,"")</f>
      </c>
      <c r="D261" s="42">
        <f>IF((ROW()-3)&lt;=('首頁'!$B$8*12),IF(ROW()-3=('首頁'!$B$8*12),G261,MIN(G261,'首頁'!$B$13-C261)),"")</f>
      </c>
      <c r="E261" s="42">
        <f>IF((ROW()-3)&lt;=('首頁'!$B$8*12),G261-D261,"")</f>
      </c>
      <c r="G261" s="39">
        <f>IF((ROW()-3)&lt;=('首頁'!$B$8*12),E260,"")</f>
      </c>
    </row>
    <row r="262" ht="22" customHeight="1" spans="1:7" x14ac:dyDescent="0.25">
      <c r="A262" s="36">
        <f>IF((ROW()-3)&lt;=('首頁'!$B$8*12),ROW()-3,"")</f>
      </c>
      <c r="B262" s="37">
        <f>IF((ROW()-3)&lt;=('首頁'!$B$8*12),C262+D262,"")</f>
      </c>
      <c r="C262" s="38">
        <f>IF((ROW()-3)&lt;=('首頁'!$B$8*12),G262*'首頁'!$B$7/12/100,"")</f>
      </c>
      <c r="D262" s="38">
        <f>IF((ROW()-3)&lt;=('首頁'!$B$8*12),IF(ROW()-3=('首頁'!$B$8*12),G262,MIN(G262,'首頁'!$B$13-C262)),"")</f>
      </c>
      <c r="E262" s="38">
        <f>IF((ROW()-3)&lt;=('首頁'!$B$8*12),G262-D262,"")</f>
      </c>
      <c r="G262" s="39">
        <f>IF((ROW()-3)&lt;=('首頁'!$B$8*12),E261,"")</f>
      </c>
    </row>
    <row r="263" ht="22" customHeight="1" spans="1:7" x14ac:dyDescent="0.25">
      <c r="A263" s="40">
        <f>IF((ROW()-3)&lt;=('首頁'!$B$8*12),ROW()-3,"")</f>
      </c>
      <c r="B263" s="41">
        <f>IF((ROW()-3)&lt;=('首頁'!$B$8*12),C263+D263,"")</f>
      </c>
      <c r="C263" s="42">
        <f>IF((ROW()-3)&lt;=('首頁'!$B$8*12),G263*'首頁'!$B$7/12/100,"")</f>
      </c>
      <c r="D263" s="42">
        <f>IF((ROW()-3)&lt;=('首頁'!$B$8*12),IF(ROW()-3=('首頁'!$B$8*12),G263,MIN(G263,'首頁'!$B$13-C263)),"")</f>
      </c>
      <c r="E263" s="42">
        <f>IF((ROW()-3)&lt;=('首頁'!$B$8*12),G263-D263,"")</f>
      </c>
      <c r="G263" s="39">
        <f>IF((ROW()-3)&lt;=('首頁'!$B$8*12),E262,"")</f>
      </c>
    </row>
    <row r="264" ht="22" customHeight="1" spans="1:7" x14ac:dyDescent="0.25">
      <c r="A264" s="36">
        <f>IF((ROW()-3)&lt;=('首頁'!$B$8*12),ROW()-3,"")</f>
      </c>
      <c r="B264" s="37">
        <f>IF((ROW()-3)&lt;=('首頁'!$B$8*12),C264+D264,"")</f>
      </c>
      <c r="C264" s="38">
        <f>IF((ROW()-3)&lt;=('首頁'!$B$8*12),G264*'首頁'!$B$7/12/100,"")</f>
      </c>
      <c r="D264" s="38">
        <f>IF((ROW()-3)&lt;=('首頁'!$B$8*12),IF(ROW()-3=('首頁'!$B$8*12),G264,MIN(G264,'首頁'!$B$13-C264)),"")</f>
      </c>
      <c r="E264" s="38">
        <f>IF((ROW()-3)&lt;=('首頁'!$B$8*12),G264-D264,"")</f>
      </c>
      <c r="G264" s="39">
        <f>IF((ROW()-3)&lt;=('首頁'!$B$8*12),E263,"")</f>
      </c>
    </row>
    <row r="265" ht="22" customHeight="1" spans="1:7" x14ac:dyDescent="0.25">
      <c r="A265" s="40">
        <f>IF((ROW()-3)&lt;=('首頁'!$B$8*12),ROW()-3,"")</f>
      </c>
      <c r="B265" s="41">
        <f>IF((ROW()-3)&lt;=('首頁'!$B$8*12),C265+D265,"")</f>
      </c>
      <c r="C265" s="42">
        <f>IF((ROW()-3)&lt;=('首頁'!$B$8*12),G265*'首頁'!$B$7/12/100,"")</f>
      </c>
      <c r="D265" s="42">
        <f>IF((ROW()-3)&lt;=('首頁'!$B$8*12),IF(ROW()-3=('首頁'!$B$8*12),G265,MIN(G265,'首頁'!$B$13-C265)),"")</f>
      </c>
      <c r="E265" s="42">
        <f>IF((ROW()-3)&lt;=('首頁'!$B$8*12),G265-D265,"")</f>
      </c>
      <c r="G265" s="39">
        <f>IF((ROW()-3)&lt;=('首頁'!$B$8*12),E264,"")</f>
      </c>
    </row>
    <row r="266" ht="22" customHeight="1" spans="1:7" x14ac:dyDescent="0.25">
      <c r="A266" s="36">
        <f>IF((ROW()-3)&lt;=('首頁'!$B$8*12),ROW()-3,"")</f>
      </c>
      <c r="B266" s="37">
        <f>IF((ROW()-3)&lt;=('首頁'!$B$8*12),C266+D266,"")</f>
      </c>
      <c r="C266" s="38">
        <f>IF((ROW()-3)&lt;=('首頁'!$B$8*12),G266*'首頁'!$B$7/12/100,"")</f>
      </c>
      <c r="D266" s="38">
        <f>IF((ROW()-3)&lt;=('首頁'!$B$8*12),IF(ROW()-3=('首頁'!$B$8*12),G266,MIN(G266,'首頁'!$B$13-C266)),"")</f>
      </c>
      <c r="E266" s="38">
        <f>IF((ROW()-3)&lt;=('首頁'!$B$8*12),G266-D266,"")</f>
      </c>
      <c r="G266" s="39">
        <f>IF((ROW()-3)&lt;=('首頁'!$B$8*12),E265,"")</f>
      </c>
    </row>
    <row r="267" ht="22" customHeight="1" spans="1:7" x14ac:dyDescent="0.25">
      <c r="A267" s="40">
        <f>IF((ROW()-3)&lt;=('首頁'!$B$8*12),ROW()-3,"")</f>
      </c>
      <c r="B267" s="41">
        <f>IF((ROW()-3)&lt;=('首頁'!$B$8*12),C267+D267,"")</f>
      </c>
      <c r="C267" s="42">
        <f>IF((ROW()-3)&lt;=('首頁'!$B$8*12),G267*'首頁'!$B$7/12/100,"")</f>
      </c>
      <c r="D267" s="42">
        <f>IF((ROW()-3)&lt;=('首頁'!$B$8*12),IF(ROW()-3=('首頁'!$B$8*12),G267,MIN(G267,'首頁'!$B$13-C267)),"")</f>
      </c>
      <c r="E267" s="42">
        <f>IF((ROW()-3)&lt;=('首頁'!$B$8*12),G267-D267,"")</f>
      </c>
      <c r="G267" s="39">
        <f>IF((ROW()-3)&lt;=('首頁'!$B$8*12),E266,"")</f>
      </c>
    </row>
    <row r="268" ht="22" customHeight="1" spans="1:7" x14ac:dyDescent="0.25">
      <c r="A268" s="36">
        <f>IF((ROW()-3)&lt;=('首頁'!$B$8*12),ROW()-3,"")</f>
      </c>
      <c r="B268" s="37">
        <f>IF((ROW()-3)&lt;=('首頁'!$B$8*12),C268+D268,"")</f>
      </c>
      <c r="C268" s="38">
        <f>IF((ROW()-3)&lt;=('首頁'!$B$8*12),G268*'首頁'!$B$7/12/100,"")</f>
      </c>
      <c r="D268" s="38">
        <f>IF((ROW()-3)&lt;=('首頁'!$B$8*12),IF(ROW()-3=('首頁'!$B$8*12),G268,MIN(G268,'首頁'!$B$13-C268)),"")</f>
      </c>
      <c r="E268" s="38">
        <f>IF((ROW()-3)&lt;=('首頁'!$B$8*12),G268-D268,"")</f>
      </c>
      <c r="G268" s="39">
        <f>IF((ROW()-3)&lt;=('首頁'!$B$8*12),E267,"")</f>
      </c>
    </row>
    <row r="269" ht="22" customHeight="1" spans="1:7" x14ac:dyDescent="0.25">
      <c r="A269" s="40">
        <f>IF((ROW()-3)&lt;=('首頁'!$B$8*12),ROW()-3,"")</f>
      </c>
      <c r="B269" s="41">
        <f>IF((ROW()-3)&lt;=('首頁'!$B$8*12),C269+D269,"")</f>
      </c>
      <c r="C269" s="42">
        <f>IF((ROW()-3)&lt;=('首頁'!$B$8*12),G269*'首頁'!$B$7/12/100,"")</f>
      </c>
      <c r="D269" s="42">
        <f>IF((ROW()-3)&lt;=('首頁'!$B$8*12),IF(ROW()-3=('首頁'!$B$8*12),G269,MIN(G269,'首頁'!$B$13-C269)),"")</f>
      </c>
      <c r="E269" s="42">
        <f>IF((ROW()-3)&lt;=('首頁'!$B$8*12),G269-D269,"")</f>
      </c>
      <c r="G269" s="39">
        <f>IF((ROW()-3)&lt;=('首頁'!$B$8*12),E268,"")</f>
      </c>
    </row>
    <row r="270" ht="22" customHeight="1" spans="1:7" x14ac:dyDescent="0.25">
      <c r="A270" s="36">
        <f>IF((ROW()-3)&lt;=('首頁'!$B$8*12),ROW()-3,"")</f>
      </c>
      <c r="B270" s="37">
        <f>IF((ROW()-3)&lt;=('首頁'!$B$8*12),C270+D270,"")</f>
      </c>
      <c r="C270" s="38">
        <f>IF((ROW()-3)&lt;=('首頁'!$B$8*12),G270*'首頁'!$B$7/12/100,"")</f>
      </c>
      <c r="D270" s="38">
        <f>IF((ROW()-3)&lt;=('首頁'!$B$8*12),IF(ROW()-3=('首頁'!$B$8*12),G270,MIN(G270,'首頁'!$B$13-C270)),"")</f>
      </c>
      <c r="E270" s="38">
        <f>IF((ROW()-3)&lt;=('首頁'!$B$8*12),G270-D270,"")</f>
      </c>
      <c r="G270" s="39">
        <f>IF((ROW()-3)&lt;=('首頁'!$B$8*12),E269,"")</f>
      </c>
    </row>
    <row r="271" ht="22" customHeight="1" spans="1:7" x14ac:dyDescent="0.25">
      <c r="A271" s="40">
        <f>IF((ROW()-3)&lt;=('首頁'!$B$8*12),ROW()-3,"")</f>
      </c>
      <c r="B271" s="41">
        <f>IF((ROW()-3)&lt;=('首頁'!$B$8*12),C271+D271,"")</f>
      </c>
      <c r="C271" s="42">
        <f>IF((ROW()-3)&lt;=('首頁'!$B$8*12),G271*'首頁'!$B$7/12/100,"")</f>
      </c>
      <c r="D271" s="42">
        <f>IF((ROW()-3)&lt;=('首頁'!$B$8*12),IF(ROW()-3=('首頁'!$B$8*12),G271,MIN(G271,'首頁'!$B$13-C271)),"")</f>
      </c>
      <c r="E271" s="42">
        <f>IF((ROW()-3)&lt;=('首頁'!$B$8*12),G271-D271,"")</f>
      </c>
      <c r="G271" s="39">
        <f>IF((ROW()-3)&lt;=('首頁'!$B$8*12),E270,"")</f>
      </c>
    </row>
    <row r="272" ht="22" customHeight="1" spans="1:7" x14ac:dyDescent="0.25">
      <c r="A272" s="36">
        <f>IF((ROW()-3)&lt;=('首頁'!$B$8*12),ROW()-3,"")</f>
      </c>
      <c r="B272" s="37">
        <f>IF((ROW()-3)&lt;=('首頁'!$B$8*12),C272+D272,"")</f>
      </c>
      <c r="C272" s="38">
        <f>IF((ROW()-3)&lt;=('首頁'!$B$8*12),G272*'首頁'!$B$7/12/100,"")</f>
      </c>
      <c r="D272" s="38">
        <f>IF((ROW()-3)&lt;=('首頁'!$B$8*12),IF(ROW()-3=('首頁'!$B$8*12),G272,MIN(G272,'首頁'!$B$13-C272)),"")</f>
      </c>
      <c r="E272" s="38">
        <f>IF((ROW()-3)&lt;=('首頁'!$B$8*12),G272-D272,"")</f>
      </c>
      <c r="G272" s="39">
        <f>IF((ROW()-3)&lt;=('首頁'!$B$8*12),E271,"")</f>
      </c>
    </row>
    <row r="273" ht="22" customHeight="1" spans="1:7" x14ac:dyDescent="0.25">
      <c r="A273" s="40">
        <f>IF((ROW()-3)&lt;=('首頁'!$B$8*12),ROW()-3,"")</f>
      </c>
      <c r="B273" s="41">
        <f>IF((ROW()-3)&lt;=('首頁'!$B$8*12),C273+D273,"")</f>
      </c>
      <c r="C273" s="42">
        <f>IF((ROW()-3)&lt;=('首頁'!$B$8*12),G273*'首頁'!$B$7/12/100,"")</f>
      </c>
      <c r="D273" s="42">
        <f>IF((ROW()-3)&lt;=('首頁'!$B$8*12),IF(ROW()-3=('首頁'!$B$8*12),G273,MIN(G273,'首頁'!$B$13-C273)),"")</f>
      </c>
      <c r="E273" s="42">
        <f>IF((ROW()-3)&lt;=('首頁'!$B$8*12),G273-D273,"")</f>
      </c>
      <c r="G273" s="39">
        <f>IF((ROW()-3)&lt;=('首頁'!$B$8*12),E272,"")</f>
      </c>
    </row>
    <row r="274" ht="22" customHeight="1" spans="1:7" x14ac:dyDescent="0.25">
      <c r="A274" s="36">
        <f>IF((ROW()-3)&lt;=('首頁'!$B$8*12),ROW()-3,"")</f>
      </c>
      <c r="B274" s="37">
        <f>IF((ROW()-3)&lt;=('首頁'!$B$8*12),C274+D274,"")</f>
      </c>
      <c r="C274" s="38">
        <f>IF((ROW()-3)&lt;=('首頁'!$B$8*12),G274*'首頁'!$B$7/12/100,"")</f>
      </c>
      <c r="D274" s="38">
        <f>IF((ROW()-3)&lt;=('首頁'!$B$8*12),IF(ROW()-3=('首頁'!$B$8*12),G274,MIN(G274,'首頁'!$B$13-C274)),"")</f>
      </c>
      <c r="E274" s="38">
        <f>IF((ROW()-3)&lt;=('首頁'!$B$8*12),G274-D274,"")</f>
      </c>
      <c r="G274" s="39">
        <f>IF((ROW()-3)&lt;=('首頁'!$B$8*12),E273,"")</f>
      </c>
    </row>
    <row r="275" ht="22" customHeight="1" spans="1:7" x14ac:dyDescent="0.25">
      <c r="A275" s="40">
        <f>IF((ROW()-3)&lt;=('首頁'!$B$8*12),ROW()-3,"")</f>
      </c>
      <c r="B275" s="41">
        <f>IF((ROW()-3)&lt;=('首頁'!$B$8*12),C275+D275,"")</f>
      </c>
      <c r="C275" s="42">
        <f>IF((ROW()-3)&lt;=('首頁'!$B$8*12),G275*'首頁'!$B$7/12/100,"")</f>
      </c>
      <c r="D275" s="42">
        <f>IF((ROW()-3)&lt;=('首頁'!$B$8*12),IF(ROW()-3=('首頁'!$B$8*12),G275,MIN(G275,'首頁'!$B$13-C275)),"")</f>
      </c>
      <c r="E275" s="42">
        <f>IF((ROW()-3)&lt;=('首頁'!$B$8*12),G275-D275,"")</f>
      </c>
      <c r="G275" s="39">
        <f>IF((ROW()-3)&lt;=('首頁'!$B$8*12),E274,"")</f>
      </c>
    </row>
    <row r="276" ht="22" customHeight="1" spans="1:7" x14ac:dyDescent="0.25">
      <c r="A276" s="36">
        <f>IF((ROW()-3)&lt;=('首頁'!$B$8*12),ROW()-3,"")</f>
      </c>
      <c r="B276" s="37">
        <f>IF((ROW()-3)&lt;=('首頁'!$B$8*12),C276+D276,"")</f>
      </c>
      <c r="C276" s="38">
        <f>IF((ROW()-3)&lt;=('首頁'!$B$8*12),G276*'首頁'!$B$7/12/100,"")</f>
      </c>
      <c r="D276" s="38">
        <f>IF((ROW()-3)&lt;=('首頁'!$B$8*12),IF(ROW()-3=('首頁'!$B$8*12),G276,MIN(G276,'首頁'!$B$13-C276)),"")</f>
      </c>
      <c r="E276" s="38">
        <f>IF((ROW()-3)&lt;=('首頁'!$B$8*12),G276-D276,"")</f>
      </c>
      <c r="G276" s="39">
        <f>IF((ROW()-3)&lt;=('首頁'!$B$8*12),E275,"")</f>
      </c>
    </row>
    <row r="277" ht="22" customHeight="1" spans="1:7" x14ac:dyDescent="0.25">
      <c r="A277" s="40">
        <f>IF((ROW()-3)&lt;=('首頁'!$B$8*12),ROW()-3,"")</f>
      </c>
      <c r="B277" s="41">
        <f>IF((ROW()-3)&lt;=('首頁'!$B$8*12),C277+D277,"")</f>
      </c>
      <c r="C277" s="42">
        <f>IF((ROW()-3)&lt;=('首頁'!$B$8*12),G277*'首頁'!$B$7/12/100,"")</f>
      </c>
      <c r="D277" s="42">
        <f>IF((ROW()-3)&lt;=('首頁'!$B$8*12),IF(ROW()-3=('首頁'!$B$8*12),G277,MIN(G277,'首頁'!$B$13-C277)),"")</f>
      </c>
      <c r="E277" s="42">
        <f>IF((ROW()-3)&lt;=('首頁'!$B$8*12),G277-D277,"")</f>
      </c>
      <c r="G277" s="39">
        <f>IF((ROW()-3)&lt;=('首頁'!$B$8*12),E276,"")</f>
      </c>
    </row>
    <row r="278" ht="22" customHeight="1" spans="1:7" x14ac:dyDescent="0.25">
      <c r="A278" s="36">
        <f>IF((ROW()-3)&lt;=('首頁'!$B$8*12),ROW()-3,"")</f>
      </c>
      <c r="B278" s="37">
        <f>IF((ROW()-3)&lt;=('首頁'!$B$8*12),C278+D278,"")</f>
      </c>
      <c r="C278" s="38">
        <f>IF((ROW()-3)&lt;=('首頁'!$B$8*12),G278*'首頁'!$B$7/12/100,"")</f>
      </c>
      <c r="D278" s="38">
        <f>IF((ROW()-3)&lt;=('首頁'!$B$8*12),IF(ROW()-3=('首頁'!$B$8*12),G278,MIN(G278,'首頁'!$B$13-C278)),"")</f>
      </c>
      <c r="E278" s="38">
        <f>IF((ROW()-3)&lt;=('首頁'!$B$8*12),G278-D278,"")</f>
      </c>
      <c r="G278" s="39">
        <f>IF((ROW()-3)&lt;=('首頁'!$B$8*12),E277,"")</f>
      </c>
    </row>
    <row r="279" ht="22" customHeight="1" spans="1:7" x14ac:dyDescent="0.25">
      <c r="A279" s="40">
        <f>IF((ROW()-3)&lt;=('首頁'!$B$8*12),ROW()-3,"")</f>
      </c>
      <c r="B279" s="41">
        <f>IF((ROW()-3)&lt;=('首頁'!$B$8*12),C279+D279,"")</f>
      </c>
      <c r="C279" s="42">
        <f>IF((ROW()-3)&lt;=('首頁'!$B$8*12),G279*'首頁'!$B$7/12/100,"")</f>
      </c>
      <c r="D279" s="42">
        <f>IF((ROW()-3)&lt;=('首頁'!$B$8*12),IF(ROW()-3=('首頁'!$B$8*12),G279,MIN(G279,'首頁'!$B$13-C279)),"")</f>
      </c>
      <c r="E279" s="42">
        <f>IF((ROW()-3)&lt;=('首頁'!$B$8*12),G279-D279,"")</f>
      </c>
      <c r="G279" s="39">
        <f>IF((ROW()-3)&lt;=('首頁'!$B$8*12),E278,"")</f>
      </c>
    </row>
    <row r="280" ht="22" customHeight="1" spans="1:7" x14ac:dyDescent="0.25">
      <c r="A280" s="36">
        <f>IF((ROW()-3)&lt;=('首頁'!$B$8*12),ROW()-3,"")</f>
      </c>
      <c r="B280" s="37">
        <f>IF((ROW()-3)&lt;=('首頁'!$B$8*12),C280+D280,"")</f>
      </c>
      <c r="C280" s="38">
        <f>IF((ROW()-3)&lt;=('首頁'!$B$8*12),G280*'首頁'!$B$7/12/100,"")</f>
      </c>
      <c r="D280" s="38">
        <f>IF((ROW()-3)&lt;=('首頁'!$B$8*12),IF(ROW()-3=('首頁'!$B$8*12),G280,MIN(G280,'首頁'!$B$13-C280)),"")</f>
      </c>
      <c r="E280" s="38">
        <f>IF((ROW()-3)&lt;=('首頁'!$B$8*12),G280-D280,"")</f>
      </c>
      <c r="G280" s="39">
        <f>IF((ROW()-3)&lt;=('首頁'!$B$8*12),E279,"")</f>
      </c>
    </row>
    <row r="281" ht="22" customHeight="1" spans="1:7" x14ac:dyDescent="0.25">
      <c r="A281" s="40">
        <f>IF((ROW()-3)&lt;=('首頁'!$B$8*12),ROW()-3,"")</f>
      </c>
      <c r="B281" s="41">
        <f>IF((ROW()-3)&lt;=('首頁'!$B$8*12),C281+D281,"")</f>
      </c>
      <c r="C281" s="42">
        <f>IF((ROW()-3)&lt;=('首頁'!$B$8*12),G281*'首頁'!$B$7/12/100,"")</f>
      </c>
      <c r="D281" s="42">
        <f>IF((ROW()-3)&lt;=('首頁'!$B$8*12),IF(ROW()-3=('首頁'!$B$8*12),G281,MIN(G281,'首頁'!$B$13-C281)),"")</f>
      </c>
      <c r="E281" s="42">
        <f>IF((ROW()-3)&lt;=('首頁'!$B$8*12),G281-D281,"")</f>
      </c>
      <c r="G281" s="39">
        <f>IF((ROW()-3)&lt;=('首頁'!$B$8*12),E280,"")</f>
      </c>
    </row>
    <row r="282" ht="22" customHeight="1" spans="1:7" x14ac:dyDescent="0.25">
      <c r="A282" s="36">
        <f>IF((ROW()-3)&lt;=('首頁'!$B$8*12),ROW()-3,"")</f>
      </c>
      <c r="B282" s="37">
        <f>IF((ROW()-3)&lt;=('首頁'!$B$8*12),C282+D282,"")</f>
      </c>
      <c r="C282" s="38">
        <f>IF((ROW()-3)&lt;=('首頁'!$B$8*12),G282*'首頁'!$B$7/12/100,"")</f>
      </c>
      <c r="D282" s="38">
        <f>IF((ROW()-3)&lt;=('首頁'!$B$8*12),IF(ROW()-3=('首頁'!$B$8*12),G282,MIN(G282,'首頁'!$B$13-C282)),"")</f>
      </c>
      <c r="E282" s="38">
        <f>IF((ROW()-3)&lt;=('首頁'!$B$8*12),G282-D282,"")</f>
      </c>
      <c r="G282" s="39">
        <f>IF((ROW()-3)&lt;=('首頁'!$B$8*12),E281,"")</f>
      </c>
    </row>
    <row r="283" ht="22" customHeight="1" spans="1:7" x14ac:dyDescent="0.25">
      <c r="A283" s="40">
        <f>IF((ROW()-3)&lt;=('首頁'!$B$8*12),ROW()-3,"")</f>
      </c>
      <c r="B283" s="41">
        <f>IF((ROW()-3)&lt;=('首頁'!$B$8*12),C283+D283,"")</f>
      </c>
      <c r="C283" s="42">
        <f>IF((ROW()-3)&lt;=('首頁'!$B$8*12),G283*'首頁'!$B$7/12/100,"")</f>
      </c>
      <c r="D283" s="42">
        <f>IF((ROW()-3)&lt;=('首頁'!$B$8*12),IF(ROW()-3=('首頁'!$B$8*12),G283,MIN(G283,'首頁'!$B$13-C283)),"")</f>
      </c>
      <c r="E283" s="42">
        <f>IF((ROW()-3)&lt;=('首頁'!$B$8*12),G283-D283,"")</f>
      </c>
      <c r="G283" s="39">
        <f>IF((ROW()-3)&lt;=('首頁'!$B$8*12),E282,"")</f>
      </c>
    </row>
    <row r="284" ht="22" customHeight="1" spans="1:7" x14ac:dyDescent="0.25">
      <c r="A284" s="36">
        <f>IF((ROW()-3)&lt;=('首頁'!$B$8*12),ROW()-3,"")</f>
      </c>
      <c r="B284" s="37">
        <f>IF((ROW()-3)&lt;=('首頁'!$B$8*12),C284+D284,"")</f>
      </c>
      <c r="C284" s="38">
        <f>IF((ROW()-3)&lt;=('首頁'!$B$8*12),G284*'首頁'!$B$7/12/100,"")</f>
      </c>
      <c r="D284" s="38">
        <f>IF((ROW()-3)&lt;=('首頁'!$B$8*12),IF(ROW()-3=('首頁'!$B$8*12),G284,MIN(G284,'首頁'!$B$13-C284)),"")</f>
      </c>
      <c r="E284" s="38">
        <f>IF((ROW()-3)&lt;=('首頁'!$B$8*12),G284-D284,"")</f>
      </c>
      <c r="G284" s="39">
        <f>IF((ROW()-3)&lt;=('首頁'!$B$8*12),E283,"")</f>
      </c>
    </row>
    <row r="285" ht="22" customHeight="1" spans="1:7" x14ac:dyDescent="0.25">
      <c r="A285" s="40">
        <f>IF((ROW()-3)&lt;=('首頁'!$B$8*12),ROW()-3,"")</f>
      </c>
      <c r="B285" s="41">
        <f>IF((ROW()-3)&lt;=('首頁'!$B$8*12),C285+D285,"")</f>
      </c>
      <c r="C285" s="42">
        <f>IF((ROW()-3)&lt;=('首頁'!$B$8*12),G285*'首頁'!$B$7/12/100,"")</f>
      </c>
      <c r="D285" s="42">
        <f>IF((ROW()-3)&lt;=('首頁'!$B$8*12),IF(ROW()-3=('首頁'!$B$8*12),G285,MIN(G285,'首頁'!$B$13-C285)),"")</f>
      </c>
      <c r="E285" s="42">
        <f>IF((ROW()-3)&lt;=('首頁'!$B$8*12),G285-D285,"")</f>
      </c>
      <c r="G285" s="39">
        <f>IF((ROW()-3)&lt;=('首頁'!$B$8*12),E284,"")</f>
      </c>
    </row>
    <row r="286" ht="22" customHeight="1" spans="1:7" x14ac:dyDescent="0.25">
      <c r="A286" s="36">
        <f>IF((ROW()-3)&lt;=('首頁'!$B$8*12),ROW()-3,"")</f>
      </c>
      <c r="B286" s="37">
        <f>IF((ROW()-3)&lt;=('首頁'!$B$8*12),C286+D286,"")</f>
      </c>
      <c r="C286" s="38">
        <f>IF((ROW()-3)&lt;=('首頁'!$B$8*12),G286*'首頁'!$B$7/12/100,"")</f>
      </c>
      <c r="D286" s="38">
        <f>IF((ROW()-3)&lt;=('首頁'!$B$8*12),IF(ROW()-3=('首頁'!$B$8*12),G286,MIN(G286,'首頁'!$B$13-C286)),"")</f>
      </c>
      <c r="E286" s="38">
        <f>IF((ROW()-3)&lt;=('首頁'!$B$8*12),G286-D286,"")</f>
      </c>
      <c r="G286" s="39">
        <f>IF((ROW()-3)&lt;=('首頁'!$B$8*12),E285,"")</f>
      </c>
    </row>
    <row r="287" ht="22" customHeight="1" spans="1:7" x14ac:dyDescent="0.25">
      <c r="A287" s="40">
        <f>IF((ROW()-3)&lt;=('首頁'!$B$8*12),ROW()-3,"")</f>
      </c>
      <c r="B287" s="41">
        <f>IF((ROW()-3)&lt;=('首頁'!$B$8*12),C287+D287,"")</f>
      </c>
      <c r="C287" s="42">
        <f>IF((ROW()-3)&lt;=('首頁'!$B$8*12),G287*'首頁'!$B$7/12/100,"")</f>
      </c>
      <c r="D287" s="42">
        <f>IF((ROW()-3)&lt;=('首頁'!$B$8*12),IF(ROW()-3=('首頁'!$B$8*12),G287,MIN(G287,'首頁'!$B$13-C287)),"")</f>
      </c>
      <c r="E287" s="42">
        <f>IF((ROW()-3)&lt;=('首頁'!$B$8*12),G287-D287,"")</f>
      </c>
      <c r="G287" s="39">
        <f>IF((ROW()-3)&lt;=('首頁'!$B$8*12),E286,"")</f>
      </c>
    </row>
    <row r="288" ht="22" customHeight="1" spans="1:7" x14ac:dyDescent="0.25">
      <c r="A288" s="36">
        <f>IF((ROW()-3)&lt;=('首頁'!$B$8*12),ROW()-3,"")</f>
      </c>
      <c r="B288" s="37">
        <f>IF((ROW()-3)&lt;=('首頁'!$B$8*12),C288+D288,"")</f>
      </c>
      <c r="C288" s="38">
        <f>IF((ROW()-3)&lt;=('首頁'!$B$8*12),G288*'首頁'!$B$7/12/100,"")</f>
      </c>
      <c r="D288" s="38">
        <f>IF((ROW()-3)&lt;=('首頁'!$B$8*12),IF(ROW()-3=('首頁'!$B$8*12),G288,MIN(G288,'首頁'!$B$13-C288)),"")</f>
      </c>
      <c r="E288" s="38">
        <f>IF((ROW()-3)&lt;=('首頁'!$B$8*12),G288-D288,"")</f>
      </c>
      <c r="G288" s="39">
        <f>IF((ROW()-3)&lt;=('首頁'!$B$8*12),E287,"")</f>
      </c>
    </row>
    <row r="289" ht="22" customHeight="1" spans="1:7" x14ac:dyDescent="0.25">
      <c r="A289" s="40">
        <f>IF((ROW()-3)&lt;=('首頁'!$B$8*12),ROW()-3,"")</f>
      </c>
      <c r="B289" s="41">
        <f>IF((ROW()-3)&lt;=('首頁'!$B$8*12),C289+D289,"")</f>
      </c>
      <c r="C289" s="42">
        <f>IF((ROW()-3)&lt;=('首頁'!$B$8*12),G289*'首頁'!$B$7/12/100,"")</f>
      </c>
      <c r="D289" s="42">
        <f>IF((ROW()-3)&lt;=('首頁'!$B$8*12),IF(ROW()-3=('首頁'!$B$8*12),G289,MIN(G289,'首頁'!$B$13-C289)),"")</f>
      </c>
      <c r="E289" s="42">
        <f>IF((ROW()-3)&lt;=('首頁'!$B$8*12),G289-D289,"")</f>
      </c>
      <c r="G289" s="39">
        <f>IF((ROW()-3)&lt;=('首頁'!$B$8*12),E288,"")</f>
      </c>
    </row>
    <row r="290" ht="22" customHeight="1" spans="1:7" x14ac:dyDescent="0.25">
      <c r="A290" s="36">
        <f>IF((ROW()-3)&lt;=('首頁'!$B$8*12),ROW()-3,"")</f>
      </c>
      <c r="B290" s="37">
        <f>IF((ROW()-3)&lt;=('首頁'!$B$8*12),C290+D290,"")</f>
      </c>
      <c r="C290" s="38">
        <f>IF((ROW()-3)&lt;=('首頁'!$B$8*12),G290*'首頁'!$B$7/12/100,"")</f>
      </c>
      <c r="D290" s="38">
        <f>IF((ROW()-3)&lt;=('首頁'!$B$8*12),IF(ROW()-3=('首頁'!$B$8*12),G290,MIN(G290,'首頁'!$B$13-C290)),"")</f>
      </c>
      <c r="E290" s="38">
        <f>IF((ROW()-3)&lt;=('首頁'!$B$8*12),G290-D290,"")</f>
      </c>
      <c r="G290" s="39">
        <f>IF((ROW()-3)&lt;=('首頁'!$B$8*12),E289,"")</f>
      </c>
    </row>
    <row r="291" ht="22" customHeight="1" spans="1:7" x14ac:dyDescent="0.25">
      <c r="A291" s="40">
        <f>IF((ROW()-3)&lt;=('首頁'!$B$8*12),ROW()-3,"")</f>
      </c>
      <c r="B291" s="41">
        <f>IF((ROW()-3)&lt;=('首頁'!$B$8*12),C291+D291,"")</f>
      </c>
      <c r="C291" s="42">
        <f>IF((ROW()-3)&lt;=('首頁'!$B$8*12),G291*'首頁'!$B$7/12/100,"")</f>
      </c>
      <c r="D291" s="42">
        <f>IF((ROW()-3)&lt;=('首頁'!$B$8*12),IF(ROW()-3=('首頁'!$B$8*12),G291,MIN(G291,'首頁'!$B$13-C291)),"")</f>
      </c>
      <c r="E291" s="42">
        <f>IF((ROW()-3)&lt;=('首頁'!$B$8*12),G291-D291,"")</f>
      </c>
      <c r="G291" s="39">
        <f>IF((ROW()-3)&lt;=('首頁'!$B$8*12),E290,"")</f>
      </c>
    </row>
    <row r="292" ht="22" customHeight="1" spans="1:7" x14ac:dyDescent="0.25">
      <c r="A292" s="36">
        <f>IF((ROW()-3)&lt;=('首頁'!$B$8*12),ROW()-3,"")</f>
      </c>
      <c r="B292" s="37">
        <f>IF((ROW()-3)&lt;=('首頁'!$B$8*12),C292+D292,"")</f>
      </c>
      <c r="C292" s="38">
        <f>IF((ROW()-3)&lt;=('首頁'!$B$8*12),G292*'首頁'!$B$7/12/100,"")</f>
      </c>
      <c r="D292" s="38">
        <f>IF((ROW()-3)&lt;=('首頁'!$B$8*12),IF(ROW()-3=('首頁'!$B$8*12),G292,MIN(G292,'首頁'!$B$13-C292)),"")</f>
      </c>
      <c r="E292" s="38">
        <f>IF((ROW()-3)&lt;=('首頁'!$B$8*12),G292-D292,"")</f>
      </c>
      <c r="G292" s="39">
        <f>IF((ROW()-3)&lt;=('首頁'!$B$8*12),E291,"")</f>
      </c>
    </row>
    <row r="293" ht="22" customHeight="1" spans="1:7" x14ac:dyDescent="0.25">
      <c r="A293" s="40">
        <f>IF((ROW()-3)&lt;=('首頁'!$B$8*12),ROW()-3,"")</f>
      </c>
      <c r="B293" s="41">
        <f>IF((ROW()-3)&lt;=('首頁'!$B$8*12),C293+D293,"")</f>
      </c>
      <c r="C293" s="42">
        <f>IF((ROW()-3)&lt;=('首頁'!$B$8*12),G293*'首頁'!$B$7/12/100,"")</f>
      </c>
      <c r="D293" s="42">
        <f>IF((ROW()-3)&lt;=('首頁'!$B$8*12),IF(ROW()-3=('首頁'!$B$8*12),G293,MIN(G293,'首頁'!$B$13-C293)),"")</f>
      </c>
      <c r="E293" s="42">
        <f>IF((ROW()-3)&lt;=('首頁'!$B$8*12),G293-D293,"")</f>
      </c>
      <c r="G293" s="39">
        <f>IF((ROW()-3)&lt;=('首頁'!$B$8*12),E292,"")</f>
      </c>
    </row>
    <row r="294" ht="22" customHeight="1" spans="1:7" x14ac:dyDescent="0.25">
      <c r="A294" s="36">
        <f>IF((ROW()-3)&lt;=('首頁'!$B$8*12),ROW()-3,"")</f>
      </c>
      <c r="B294" s="37">
        <f>IF((ROW()-3)&lt;=('首頁'!$B$8*12),C294+D294,"")</f>
      </c>
      <c r="C294" s="38">
        <f>IF((ROW()-3)&lt;=('首頁'!$B$8*12),G294*'首頁'!$B$7/12/100,"")</f>
      </c>
      <c r="D294" s="38">
        <f>IF((ROW()-3)&lt;=('首頁'!$B$8*12),IF(ROW()-3=('首頁'!$B$8*12),G294,MIN(G294,'首頁'!$B$13-C294)),"")</f>
      </c>
      <c r="E294" s="38">
        <f>IF((ROW()-3)&lt;=('首頁'!$B$8*12),G294-D294,"")</f>
      </c>
      <c r="G294" s="39">
        <f>IF((ROW()-3)&lt;=('首頁'!$B$8*12),E293,"")</f>
      </c>
    </row>
    <row r="295" ht="22" customHeight="1" spans="1:7" x14ac:dyDescent="0.25">
      <c r="A295" s="40">
        <f>IF((ROW()-3)&lt;=('首頁'!$B$8*12),ROW()-3,"")</f>
      </c>
      <c r="B295" s="41">
        <f>IF((ROW()-3)&lt;=('首頁'!$B$8*12),C295+D295,"")</f>
      </c>
      <c r="C295" s="42">
        <f>IF((ROW()-3)&lt;=('首頁'!$B$8*12),G295*'首頁'!$B$7/12/100,"")</f>
      </c>
      <c r="D295" s="42">
        <f>IF((ROW()-3)&lt;=('首頁'!$B$8*12),IF(ROW()-3=('首頁'!$B$8*12),G295,MIN(G295,'首頁'!$B$13-C295)),"")</f>
      </c>
      <c r="E295" s="42">
        <f>IF((ROW()-3)&lt;=('首頁'!$B$8*12),G295-D295,"")</f>
      </c>
      <c r="G295" s="39">
        <f>IF((ROW()-3)&lt;=('首頁'!$B$8*12),E294,"")</f>
      </c>
    </row>
    <row r="296" ht="22" customHeight="1" spans="1:7" x14ac:dyDescent="0.25">
      <c r="A296" s="36">
        <f>IF((ROW()-3)&lt;=('首頁'!$B$8*12),ROW()-3,"")</f>
      </c>
      <c r="B296" s="37">
        <f>IF((ROW()-3)&lt;=('首頁'!$B$8*12),C296+D296,"")</f>
      </c>
      <c r="C296" s="38">
        <f>IF((ROW()-3)&lt;=('首頁'!$B$8*12),G296*'首頁'!$B$7/12/100,"")</f>
      </c>
      <c r="D296" s="38">
        <f>IF((ROW()-3)&lt;=('首頁'!$B$8*12),IF(ROW()-3=('首頁'!$B$8*12),G296,MIN(G296,'首頁'!$B$13-C296)),"")</f>
      </c>
      <c r="E296" s="38">
        <f>IF((ROW()-3)&lt;=('首頁'!$B$8*12),G296-D296,"")</f>
      </c>
      <c r="G296" s="39">
        <f>IF((ROW()-3)&lt;=('首頁'!$B$8*12),E295,"")</f>
      </c>
    </row>
    <row r="297" ht="22" customHeight="1" spans="1:7" x14ac:dyDescent="0.25">
      <c r="A297" s="40">
        <f>IF((ROW()-3)&lt;=('首頁'!$B$8*12),ROW()-3,"")</f>
      </c>
      <c r="B297" s="41">
        <f>IF((ROW()-3)&lt;=('首頁'!$B$8*12),C297+D297,"")</f>
      </c>
      <c r="C297" s="42">
        <f>IF((ROW()-3)&lt;=('首頁'!$B$8*12),G297*'首頁'!$B$7/12/100,"")</f>
      </c>
      <c r="D297" s="42">
        <f>IF((ROW()-3)&lt;=('首頁'!$B$8*12),IF(ROW()-3=('首頁'!$B$8*12),G297,MIN(G297,'首頁'!$B$13-C297)),"")</f>
      </c>
      <c r="E297" s="42">
        <f>IF((ROW()-3)&lt;=('首頁'!$B$8*12),G297-D297,"")</f>
      </c>
      <c r="G297" s="39">
        <f>IF((ROW()-3)&lt;=('首頁'!$B$8*12),E296,"")</f>
      </c>
    </row>
    <row r="298" ht="22" customHeight="1" spans="1:7" x14ac:dyDescent="0.25">
      <c r="A298" s="36">
        <f>IF((ROW()-3)&lt;=('首頁'!$B$8*12),ROW()-3,"")</f>
      </c>
      <c r="B298" s="37">
        <f>IF((ROW()-3)&lt;=('首頁'!$B$8*12),C298+D298,"")</f>
      </c>
      <c r="C298" s="38">
        <f>IF((ROW()-3)&lt;=('首頁'!$B$8*12),G298*'首頁'!$B$7/12/100,"")</f>
      </c>
      <c r="D298" s="38">
        <f>IF((ROW()-3)&lt;=('首頁'!$B$8*12),IF(ROW()-3=('首頁'!$B$8*12),G298,MIN(G298,'首頁'!$B$13-C298)),"")</f>
      </c>
      <c r="E298" s="38">
        <f>IF((ROW()-3)&lt;=('首頁'!$B$8*12),G298-D298,"")</f>
      </c>
      <c r="G298" s="39">
        <f>IF((ROW()-3)&lt;=('首頁'!$B$8*12),E297,"")</f>
      </c>
    </row>
    <row r="299" ht="22" customHeight="1" spans="1:7" x14ac:dyDescent="0.25">
      <c r="A299" s="40">
        <f>IF((ROW()-3)&lt;=('首頁'!$B$8*12),ROW()-3,"")</f>
      </c>
      <c r="B299" s="41">
        <f>IF((ROW()-3)&lt;=('首頁'!$B$8*12),C299+D299,"")</f>
      </c>
      <c r="C299" s="42">
        <f>IF((ROW()-3)&lt;=('首頁'!$B$8*12),G299*'首頁'!$B$7/12/100,"")</f>
      </c>
      <c r="D299" s="42">
        <f>IF((ROW()-3)&lt;=('首頁'!$B$8*12),IF(ROW()-3=('首頁'!$B$8*12),G299,MIN(G299,'首頁'!$B$13-C299)),"")</f>
      </c>
      <c r="E299" s="42">
        <f>IF((ROW()-3)&lt;=('首頁'!$B$8*12),G299-D299,"")</f>
      </c>
      <c r="G299" s="39">
        <f>IF((ROW()-3)&lt;=('首頁'!$B$8*12),E298,"")</f>
      </c>
    </row>
    <row r="300" ht="22" customHeight="1" spans="1:7" x14ac:dyDescent="0.25">
      <c r="A300" s="36">
        <f>IF((ROW()-3)&lt;=('首頁'!$B$8*12),ROW()-3,"")</f>
      </c>
      <c r="B300" s="37">
        <f>IF((ROW()-3)&lt;=('首頁'!$B$8*12),C300+D300,"")</f>
      </c>
      <c r="C300" s="38">
        <f>IF((ROW()-3)&lt;=('首頁'!$B$8*12),G300*'首頁'!$B$7/12/100,"")</f>
      </c>
      <c r="D300" s="38">
        <f>IF((ROW()-3)&lt;=('首頁'!$B$8*12),IF(ROW()-3=('首頁'!$B$8*12),G300,MIN(G300,'首頁'!$B$13-C300)),"")</f>
      </c>
      <c r="E300" s="38">
        <f>IF((ROW()-3)&lt;=('首頁'!$B$8*12),G300-D300,"")</f>
      </c>
      <c r="G300" s="39">
        <f>IF((ROW()-3)&lt;=('首頁'!$B$8*12),E299,"")</f>
      </c>
    </row>
    <row r="301" ht="22" customHeight="1" spans="1:7" x14ac:dyDescent="0.25">
      <c r="A301" s="40">
        <f>IF((ROW()-3)&lt;=('首頁'!$B$8*12),ROW()-3,"")</f>
      </c>
      <c r="B301" s="41">
        <f>IF((ROW()-3)&lt;=('首頁'!$B$8*12),C301+D301,"")</f>
      </c>
      <c r="C301" s="42">
        <f>IF((ROW()-3)&lt;=('首頁'!$B$8*12),G301*'首頁'!$B$7/12/100,"")</f>
      </c>
      <c r="D301" s="42">
        <f>IF((ROW()-3)&lt;=('首頁'!$B$8*12),IF(ROW()-3=('首頁'!$B$8*12),G301,MIN(G301,'首頁'!$B$13-C301)),"")</f>
      </c>
      <c r="E301" s="42">
        <f>IF((ROW()-3)&lt;=('首頁'!$B$8*12),G301-D301,"")</f>
      </c>
      <c r="G301" s="39">
        <f>IF((ROW()-3)&lt;=('首頁'!$B$8*12),E300,"")</f>
      </c>
    </row>
    <row r="302" ht="22" customHeight="1" spans="1:7" x14ac:dyDescent="0.25">
      <c r="A302" s="36">
        <f>IF((ROW()-3)&lt;=('首頁'!$B$8*12),ROW()-3,"")</f>
      </c>
      <c r="B302" s="37">
        <f>IF((ROW()-3)&lt;=('首頁'!$B$8*12),C302+D302,"")</f>
      </c>
      <c r="C302" s="38">
        <f>IF((ROW()-3)&lt;=('首頁'!$B$8*12),G302*'首頁'!$B$7/12/100,"")</f>
      </c>
      <c r="D302" s="38">
        <f>IF((ROW()-3)&lt;=('首頁'!$B$8*12),IF(ROW()-3=('首頁'!$B$8*12),G302,MIN(G302,'首頁'!$B$13-C302)),"")</f>
      </c>
      <c r="E302" s="38">
        <f>IF((ROW()-3)&lt;=('首頁'!$B$8*12),G302-D302,"")</f>
      </c>
      <c r="G302" s="39">
        <f>IF((ROW()-3)&lt;=('首頁'!$B$8*12),E301,"")</f>
      </c>
    </row>
    <row r="303" ht="22" customHeight="1" spans="1:7" x14ac:dyDescent="0.25">
      <c r="A303" s="40">
        <f>IF((ROW()-3)&lt;=('首頁'!$B$8*12),ROW()-3,"")</f>
      </c>
      <c r="B303" s="41">
        <f>IF((ROW()-3)&lt;=('首頁'!$B$8*12),C303+D303,"")</f>
      </c>
      <c r="C303" s="42">
        <f>IF((ROW()-3)&lt;=('首頁'!$B$8*12),G303*'首頁'!$B$7/12/100,"")</f>
      </c>
      <c r="D303" s="42">
        <f>IF((ROW()-3)&lt;=('首頁'!$B$8*12),IF(ROW()-3=('首頁'!$B$8*12),G303,MIN(G303,'首頁'!$B$13-C303)),"")</f>
      </c>
      <c r="E303" s="42">
        <f>IF((ROW()-3)&lt;=('首頁'!$B$8*12),G303-D303,"")</f>
      </c>
      <c r="G303" s="39">
        <f>IF((ROW()-3)&lt;=('首頁'!$B$8*12),E302,"")</f>
      </c>
    </row>
    <row r="304" ht="22" customHeight="1" spans="1:7" x14ac:dyDescent="0.25">
      <c r="A304" s="36">
        <f>IF((ROW()-3)&lt;=('首頁'!$B$8*12),ROW()-3,"")</f>
      </c>
      <c r="B304" s="37">
        <f>IF((ROW()-3)&lt;=('首頁'!$B$8*12),C304+D304,"")</f>
      </c>
      <c r="C304" s="38">
        <f>IF((ROW()-3)&lt;=('首頁'!$B$8*12),G304*'首頁'!$B$7/12/100,"")</f>
      </c>
      <c r="D304" s="38">
        <f>IF((ROW()-3)&lt;=('首頁'!$B$8*12),IF(ROW()-3=('首頁'!$B$8*12),G304,MIN(G304,'首頁'!$B$13-C304)),"")</f>
      </c>
      <c r="E304" s="38">
        <f>IF((ROW()-3)&lt;=('首頁'!$B$8*12),G304-D304,"")</f>
      </c>
      <c r="G304" s="39">
        <f>IF((ROW()-3)&lt;=('首頁'!$B$8*12),E303,"")</f>
      </c>
    </row>
    <row r="305" ht="22" customHeight="1" spans="1:7" x14ac:dyDescent="0.25">
      <c r="A305" s="40">
        <f>IF((ROW()-3)&lt;=('首頁'!$B$8*12),ROW()-3,"")</f>
      </c>
      <c r="B305" s="41">
        <f>IF((ROW()-3)&lt;=('首頁'!$B$8*12),C305+D305,"")</f>
      </c>
      <c r="C305" s="42">
        <f>IF((ROW()-3)&lt;=('首頁'!$B$8*12),G305*'首頁'!$B$7/12/100,"")</f>
      </c>
      <c r="D305" s="42">
        <f>IF((ROW()-3)&lt;=('首頁'!$B$8*12),IF(ROW()-3=('首頁'!$B$8*12),G305,MIN(G305,'首頁'!$B$13-C305)),"")</f>
      </c>
      <c r="E305" s="42">
        <f>IF((ROW()-3)&lt;=('首頁'!$B$8*12),G305-D305,"")</f>
      </c>
      <c r="G305" s="39">
        <f>IF((ROW()-3)&lt;=('首頁'!$B$8*12),E304,"")</f>
      </c>
    </row>
    <row r="306" ht="22" customHeight="1" spans="1:7" x14ac:dyDescent="0.25">
      <c r="A306" s="36">
        <f>IF((ROW()-3)&lt;=('首頁'!$B$8*12),ROW()-3,"")</f>
      </c>
      <c r="B306" s="37">
        <f>IF((ROW()-3)&lt;=('首頁'!$B$8*12),C306+D306,"")</f>
      </c>
      <c r="C306" s="38">
        <f>IF((ROW()-3)&lt;=('首頁'!$B$8*12),G306*'首頁'!$B$7/12/100,"")</f>
      </c>
      <c r="D306" s="38">
        <f>IF((ROW()-3)&lt;=('首頁'!$B$8*12),IF(ROW()-3=('首頁'!$B$8*12),G306,MIN(G306,'首頁'!$B$13-C306)),"")</f>
      </c>
      <c r="E306" s="38">
        <f>IF((ROW()-3)&lt;=('首頁'!$B$8*12),G306-D306,"")</f>
      </c>
      <c r="G306" s="39">
        <f>IF((ROW()-3)&lt;=('首頁'!$B$8*12),E305,"")</f>
      </c>
    </row>
    <row r="307" ht="22" customHeight="1" spans="1:7" x14ac:dyDescent="0.25">
      <c r="A307" s="40">
        <f>IF((ROW()-3)&lt;=('首頁'!$B$8*12),ROW()-3,"")</f>
      </c>
      <c r="B307" s="41">
        <f>IF((ROW()-3)&lt;=('首頁'!$B$8*12),C307+D307,"")</f>
      </c>
      <c r="C307" s="42">
        <f>IF((ROW()-3)&lt;=('首頁'!$B$8*12),G307*'首頁'!$B$7/12/100,"")</f>
      </c>
      <c r="D307" s="42">
        <f>IF((ROW()-3)&lt;=('首頁'!$B$8*12),IF(ROW()-3=('首頁'!$B$8*12),G307,MIN(G307,'首頁'!$B$13-C307)),"")</f>
      </c>
      <c r="E307" s="42">
        <f>IF((ROW()-3)&lt;=('首頁'!$B$8*12),G307-D307,"")</f>
      </c>
      <c r="G307" s="39">
        <f>IF((ROW()-3)&lt;=('首頁'!$B$8*12),E306,"")</f>
      </c>
    </row>
    <row r="308" ht="22" customHeight="1" spans="1:7" x14ac:dyDescent="0.25">
      <c r="A308" s="36">
        <f>IF((ROW()-3)&lt;=('首頁'!$B$8*12),ROW()-3,"")</f>
      </c>
      <c r="B308" s="37">
        <f>IF((ROW()-3)&lt;=('首頁'!$B$8*12),C308+D308,"")</f>
      </c>
      <c r="C308" s="38">
        <f>IF((ROW()-3)&lt;=('首頁'!$B$8*12),G308*'首頁'!$B$7/12/100,"")</f>
      </c>
      <c r="D308" s="38">
        <f>IF((ROW()-3)&lt;=('首頁'!$B$8*12),IF(ROW()-3=('首頁'!$B$8*12),G308,MIN(G308,'首頁'!$B$13-C308)),"")</f>
      </c>
      <c r="E308" s="38">
        <f>IF((ROW()-3)&lt;=('首頁'!$B$8*12),G308-D308,"")</f>
      </c>
      <c r="G308" s="39">
        <f>IF((ROW()-3)&lt;=('首頁'!$B$8*12),E307,"")</f>
      </c>
    </row>
    <row r="309" ht="22" customHeight="1" spans="1:7" x14ac:dyDescent="0.25">
      <c r="A309" s="40">
        <f>IF((ROW()-3)&lt;=('首頁'!$B$8*12),ROW()-3,"")</f>
      </c>
      <c r="B309" s="41">
        <f>IF((ROW()-3)&lt;=('首頁'!$B$8*12),C309+D309,"")</f>
      </c>
      <c r="C309" s="42">
        <f>IF((ROW()-3)&lt;=('首頁'!$B$8*12),G309*'首頁'!$B$7/12/100,"")</f>
      </c>
      <c r="D309" s="42">
        <f>IF((ROW()-3)&lt;=('首頁'!$B$8*12),IF(ROW()-3=('首頁'!$B$8*12),G309,MIN(G309,'首頁'!$B$13-C309)),"")</f>
      </c>
      <c r="E309" s="42">
        <f>IF((ROW()-3)&lt;=('首頁'!$B$8*12),G309-D309,"")</f>
      </c>
      <c r="G309" s="39">
        <f>IF((ROW()-3)&lt;=('首頁'!$B$8*12),E308,"")</f>
      </c>
    </row>
    <row r="310" ht="22" customHeight="1" spans="1:7" x14ac:dyDescent="0.25">
      <c r="A310" s="36">
        <f>IF((ROW()-3)&lt;=('首頁'!$B$8*12),ROW()-3,"")</f>
      </c>
      <c r="B310" s="37">
        <f>IF((ROW()-3)&lt;=('首頁'!$B$8*12),C310+D310,"")</f>
      </c>
      <c r="C310" s="38">
        <f>IF((ROW()-3)&lt;=('首頁'!$B$8*12),G310*'首頁'!$B$7/12/100,"")</f>
      </c>
      <c r="D310" s="38">
        <f>IF((ROW()-3)&lt;=('首頁'!$B$8*12),IF(ROW()-3=('首頁'!$B$8*12),G310,MIN(G310,'首頁'!$B$13-C310)),"")</f>
      </c>
      <c r="E310" s="38">
        <f>IF((ROW()-3)&lt;=('首頁'!$B$8*12),G310-D310,"")</f>
      </c>
      <c r="G310" s="39">
        <f>IF((ROW()-3)&lt;=('首頁'!$B$8*12),E309,"")</f>
      </c>
    </row>
    <row r="311" ht="22" customHeight="1" spans="1:7" x14ac:dyDescent="0.25">
      <c r="A311" s="40">
        <f>IF((ROW()-3)&lt;=('首頁'!$B$8*12),ROW()-3,"")</f>
      </c>
      <c r="B311" s="41">
        <f>IF((ROW()-3)&lt;=('首頁'!$B$8*12),C311+D311,"")</f>
      </c>
      <c r="C311" s="42">
        <f>IF((ROW()-3)&lt;=('首頁'!$B$8*12),G311*'首頁'!$B$7/12/100,"")</f>
      </c>
      <c r="D311" s="42">
        <f>IF((ROW()-3)&lt;=('首頁'!$B$8*12),IF(ROW()-3=('首頁'!$B$8*12),G311,MIN(G311,'首頁'!$B$13-C311)),"")</f>
      </c>
      <c r="E311" s="42">
        <f>IF((ROW()-3)&lt;=('首頁'!$B$8*12),G311-D311,"")</f>
      </c>
      <c r="G311" s="39">
        <f>IF((ROW()-3)&lt;=('首頁'!$B$8*12),E310,"")</f>
      </c>
    </row>
    <row r="312" ht="22" customHeight="1" spans="1:7" x14ac:dyDescent="0.25">
      <c r="A312" s="36">
        <f>IF((ROW()-3)&lt;=('首頁'!$B$8*12),ROW()-3,"")</f>
      </c>
      <c r="B312" s="37">
        <f>IF((ROW()-3)&lt;=('首頁'!$B$8*12),C312+D312,"")</f>
      </c>
      <c r="C312" s="38">
        <f>IF((ROW()-3)&lt;=('首頁'!$B$8*12),G312*'首頁'!$B$7/12/100,"")</f>
      </c>
      <c r="D312" s="38">
        <f>IF((ROW()-3)&lt;=('首頁'!$B$8*12),IF(ROW()-3=('首頁'!$B$8*12),G312,MIN(G312,'首頁'!$B$13-C312)),"")</f>
      </c>
      <c r="E312" s="38">
        <f>IF((ROW()-3)&lt;=('首頁'!$B$8*12),G312-D312,"")</f>
      </c>
      <c r="G312" s="39">
        <f>IF((ROW()-3)&lt;=('首頁'!$B$8*12),E311,"")</f>
      </c>
    </row>
    <row r="313" ht="22" customHeight="1" spans="1:7" x14ac:dyDescent="0.25">
      <c r="A313" s="40">
        <f>IF((ROW()-3)&lt;=('首頁'!$B$8*12),ROW()-3,"")</f>
      </c>
      <c r="B313" s="41">
        <f>IF((ROW()-3)&lt;=('首頁'!$B$8*12),C313+D313,"")</f>
      </c>
      <c r="C313" s="42">
        <f>IF((ROW()-3)&lt;=('首頁'!$B$8*12),G313*'首頁'!$B$7/12/100,"")</f>
      </c>
      <c r="D313" s="42">
        <f>IF((ROW()-3)&lt;=('首頁'!$B$8*12),IF(ROW()-3=('首頁'!$B$8*12),G313,MIN(G313,'首頁'!$B$13-C313)),"")</f>
      </c>
      <c r="E313" s="42">
        <f>IF((ROW()-3)&lt;=('首頁'!$B$8*12),G313-D313,"")</f>
      </c>
      <c r="G313" s="39">
        <f>IF((ROW()-3)&lt;=('首頁'!$B$8*12),E312,"")</f>
      </c>
    </row>
    <row r="314" ht="22" customHeight="1" spans="1:7" x14ac:dyDescent="0.25">
      <c r="A314" s="36">
        <f>IF((ROW()-3)&lt;=('首頁'!$B$8*12),ROW()-3,"")</f>
      </c>
      <c r="B314" s="37">
        <f>IF((ROW()-3)&lt;=('首頁'!$B$8*12),C314+D314,"")</f>
      </c>
      <c r="C314" s="38">
        <f>IF((ROW()-3)&lt;=('首頁'!$B$8*12),G314*'首頁'!$B$7/12/100,"")</f>
      </c>
      <c r="D314" s="38">
        <f>IF((ROW()-3)&lt;=('首頁'!$B$8*12),IF(ROW()-3=('首頁'!$B$8*12),G314,MIN(G314,'首頁'!$B$13-C314)),"")</f>
      </c>
      <c r="E314" s="38">
        <f>IF((ROW()-3)&lt;=('首頁'!$B$8*12),G314-D314,"")</f>
      </c>
      <c r="G314" s="39">
        <f>IF((ROW()-3)&lt;=('首頁'!$B$8*12),E313,"")</f>
      </c>
    </row>
    <row r="315" ht="22" customHeight="1" spans="1:7" x14ac:dyDescent="0.25">
      <c r="A315" s="40">
        <f>IF((ROW()-3)&lt;=('首頁'!$B$8*12),ROW()-3,"")</f>
      </c>
      <c r="B315" s="41">
        <f>IF((ROW()-3)&lt;=('首頁'!$B$8*12),C315+D315,"")</f>
      </c>
      <c r="C315" s="42">
        <f>IF((ROW()-3)&lt;=('首頁'!$B$8*12),G315*'首頁'!$B$7/12/100,"")</f>
      </c>
      <c r="D315" s="42">
        <f>IF((ROW()-3)&lt;=('首頁'!$B$8*12),IF(ROW()-3=('首頁'!$B$8*12),G315,MIN(G315,'首頁'!$B$13-C315)),"")</f>
      </c>
      <c r="E315" s="42">
        <f>IF((ROW()-3)&lt;=('首頁'!$B$8*12),G315-D315,"")</f>
      </c>
      <c r="G315" s="39">
        <f>IF((ROW()-3)&lt;=('首頁'!$B$8*12),E314,"")</f>
      </c>
    </row>
    <row r="316" ht="22" customHeight="1" spans="1:7" x14ac:dyDescent="0.25">
      <c r="A316" s="36">
        <f>IF((ROW()-3)&lt;=('首頁'!$B$8*12),ROW()-3,"")</f>
      </c>
      <c r="B316" s="37">
        <f>IF((ROW()-3)&lt;=('首頁'!$B$8*12),C316+D316,"")</f>
      </c>
      <c r="C316" s="38">
        <f>IF((ROW()-3)&lt;=('首頁'!$B$8*12),G316*'首頁'!$B$7/12/100,"")</f>
      </c>
      <c r="D316" s="38">
        <f>IF((ROW()-3)&lt;=('首頁'!$B$8*12),IF(ROW()-3=('首頁'!$B$8*12),G316,MIN(G316,'首頁'!$B$13-C316)),"")</f>
      </c>
      <c r="E316" s="38">
        <f>IF((ROW()-3)&lt;=('首頁'!$B$8*12),G316-D316,"")</f>
      </c>
      <c r="G316" s="39">
        <f>IF((ROW()-3)&lt;=('首頁'!$B$8*12),E315,"")</f>
      </c>
    </row>
    <row r="317" ht="22" customHeight="1" spans="1:7" x14ac:dyDescent="0.25">
      <c r="A317" s="40">
        <f>IF((ROW()-3)&lt;=('首頁'!$B$8*12),ROW()-3,"")</f>
      </c>
      <c r="B317" s="41">
        <f>IF((ROW()-3)&lt;=('首頁'!$B$8*12),C317+D317,"")</f>
      </c>
      <c r="C317" s="42">
        <f>IF((ROW()-3)&lt;=('首頁'!$B$8*12),G317*'首頁'!$B$7/12/100,"")</f>
      </c>
      <c r="D317" s="42">
        <f>IF((ROW()-3)&lt;=('首頁'!$B$8*12),IF(ROW()-3=('首頁'!$B$8*12),G317,MIN(G317,'首頁'!$B$13-C317)),"")</f>
      </c>
      <c r="E317" s="42">
        <f>IF((ROW()-3)&lt;=('首頁'!$B$8*12),G317-D317,"")</f>
      </c>
      <c r="G317" s="39">
        <f>IF((ROW()-3)&lt;=('首頁'!$B$8*12),E316,"")</f>
      </c>
    </row>
    <row r="318" ht="22" customHeight="1" spans="1:7" x14ac:dyDescent="0.25">
      <c r="A318" s="36">
        <f>IF((ROW()-3)&lt;=('首頁'!$B$8*12),ROW()-3,"")</f>
      </c>
      <c r="B318" s="37">
        <f>IF((ROW()-3)&lt;=('首頁'!$B$8*12),C318+D318,"")</f>
      </c>
      <c r="C318" s="38">
        <f>IF((ROW()-3)&lt;=('首頁'!$B$8*12),G318*'首頁'!$B$7/12/100,"")</f>
      </c>
      <c r="D318" s="38">
        <f>IF((ROW()-3)&lt;=('首頁'!$B$8*12),IF(ROW()-3=('首頁'!$B$8*12),G318,MIN(G318,'首頁'!$B$13-C318)),"")</f>
      </c>
      <c r="E318" s="38">
        <f>IF((ROW()-3)&lt;=('首頁'!$B$8*12),G318-D318,"")</f>
      </c>
      <c r="G318" s="39">
        <f>IF((ROW()-3)&lt;=('首頁'!$B$8*12),E317,"")</f>
      </c>
    </row>
    <row r="319" ht="22" customHeight="1" spans="1:7" x14ac:dyDescent="0.25">
      <c r="A319" s="40">
        <f>IF((ROW()-3)&lt;=('首頁'!$B$8*12),ROW()-3,"")</f>
      </c>
      <c r="B319" s="41">
        <f>IF((ROW()-3)&lt;=('首頁'!$B$8*12),C319+D319,"")</f>
      </c>
      <c r="C319" s="42">
        <f>IF((ROW()-3)&lt;=('首頁'!$B$8*12),G319*'首頁'!$B$7/12/100,"")</f>
      </c>
      <c r="D319" s="42">
        <f>IF((ROW()-3)&lt;=('首頁'!$B$8*12),IF(ROW()-3=('首頁'!$B$8*12),G319,MIN(G319,'首頁'!$B$13-C319)),"")</f>
      </c>
      <c r="E319" s="42">
        <f>IF((ROW()-3)&lt;=('首頁'!$B$8*12),G319-D319,"")</f>
      </c>
      <c r="G319" s="39">
        <f>IF((ROW()-3)&lt;=('首頁'!$B$8*12),E318,"")</f>
      </c>
    </row>
    <row r="320" ht="22" customHeight="1" spans="1:7" x14ac:dyDescent="0.25">
      <c r="A320" s="36">
        <f>IF((ROW()-3)&lt;=('首頁'!$B$8*12),ROW()-3,"")</f>
      </c>
      <c r="B320" s="37">
        <f>IF((ROW()-3)&lt;=('首頁'!$B$8*12),C320+D320,"")</f>
      </c>
      <c r="C320" s="38">
        <f>IF((ROW()-3)&lt;=('首頁'!$B$8*12),G320*'首頁'!$B$7/12/100,"")</f>
      </c>
      <c r="D320" s="38">
        <f>IF((ROW()-3)&lt;=('首頁'!$B$8*12),IF(ROW()-3=('首頁'!$B$8*12),G320,MIN(G320,'首頁'!$B$13-C320)),"")</f>
      </c>
      <c r="E320" s="38">
        <f>IF((ROW()-3)&lt;=('首頁'!$B$8*12),G320-D320,"")</f>
      </c>
      <c r="G320" s="39">
        <f>IF((ROW()-3)&lt;=('首頁'!$B$8*12),E319,"")</f>
      </c>
    </row>
    <row r="321" ht="22" customHeight="1" spans="1:7" x14ac:dyDescent="0.25">
      <c r="A321" s="40">
        <f>IF((ROW()-3)&lt;=('首頁'!$B$8*12),ROW()-3,"")</f>
      </c>
      <c r="B321" s="41">
        <f>IF((ROW()-3)&lt;=('首頁'!$B$8*12),C321+D321,"")</f>
      </c>
      <c r="C321" s="42">
        <f>IF((ROW()-3)&lt;=('首頁'!$B$8*12),G321*'首頁'!$B$7/12/100,"")</f>
      </c>
      <c r="D321" s="42">
        <f>IF((ROW()-3)&lt;=('首頁'!$B$8*12),IF(ROW()-3=('首頁'!$B$8*12),G321,MIN(G321,'首頁'!$B$13-C321)),"")</f>
      </c>
      <c r="E321" s="42">
        <f>IF((ROW()-3)&lt;=('首頁'!$B$8*12),G321-D321,"")</f>
      </c>
      <c r="G321" s="39">
        <f>IF((ROW()-3)&lt;=('首頁'!$B$8*12),E320,"")</f>
      </c>
    </row>
    <row r="322" ht="22" customHeight="1" spans="1:7" x14ac:dyDescent="0.25">
      <c r="A322" s="36">
        <f>IF((ROW()-3)&lt;=('首頁'!$B$8*12),ROW()-3,"")</f>
      </c>
      <c r="B322" s="37">
        <f>IF((ROW()-3)&lt;=('首頁'!$B$8*12),C322+D322,"")</f>
      </c>
      <c r="C322" s="38">
        <f>IF((ROW()-3)&lt;=('首頁'!$B$8*12),G322*'首頁'!$B$7/12/100,"")</f>
      </c>
      <c r="D322" s="38">
        <f>IF((ROW()-3)&lt;=('首頁'!$B$8*12),IF(ROW()-3=('首頁'!$B$8*12),G322,MIN(G322,'首頁'!$B$13-C322)),"")</f>
      </c>
      <c r="E322" s="38">
        <f>IF((ROW()-3)&lt;=('首頁'!$B$8*12),G322-D322,"")</f>
      </c>
      <c r="G322" s="39">
        <f>IF((ROW()-3)&lt;=('首頁'!$B$8*12),E321,"")</f>
      </c>
    </row>
    <row r="323" ht="22" customHeight="1" spans="1:7" x14ac:dyDescent="0.25">
      <c r="A323" s="40">
        <f>IF((ROW()-3)&lt;=('首頁'!$B$8*12),ROW()-3,"")</f>
      </c>
      <c r="B323" s="41">
        <f>IF((ROW()-3)&lt;=('首頁'!$B$8*12),C323+D323,"")</f>
      </c>
      <c r="C323" s="42">
        <f>IF((ROW()-3)&lt;=('首頁'!$B$8*12),G323*'首頁'!$B$7/12/100,"")</f>
      </c>
      <c r="D323" s="42">
        <f>IF((ROW()-3)&lt;=('首頁'!$B$8*12),IF(ROW()-3=('首頁'!$B$8*12),G323,MIN(G323,'首頁'!$B$13-C323)),"")</f>
      </c>
      <c r="E323" s="42">
        <f>IF((ROW()-3)&lt;=('首頁'!$B$8*12),G323-D323,"")</f>
      </c>
      <c r="G323" s="39">
        <f>IF((ROW()-3)&lt;=('首頁'!$B$8*12),E322,"")</f>
      </c>
    </row>
    <row r="324" ht="22" customHeight="1" spans="1:7" x14ac:dyDescent="0.25">
      <c r="A324" s="36">
        <f>IF((ROW()-3)&lt;=('首頁'!$B$8*12),ROW()-3,"")</f>
      </c>
      <c r="B324" s="37">
        <f>IF((ROW()-3)&lt;=('首頁'!$B$8*12),C324+D324,"")</f>
      </c>
      <c r="C324" s="38">
        <f>IF((ROW()-3)&lt;=('首頁'!$B$8*12),G324*'首頁'!$B$7/12/100,"")</f>
      </c>
      <c r="D324" s="38">
        <f>IF((ROW()-3)&lt;=('首頁'!$B$8*12),IF(ROW()-3=('首頁'!$B$8*12),G324,MIN(G324,'首頁'!$B$13-C324)),"")</f>
      </c>
      <c r="E324" s="38">
        <f>IF((ROW()-3)&lt;=('首頁'!$B$8*12),G324-D324,"")</f>
      </c>
      <c r="G324" s="39">
        <f>IF((ROW()-3)&lt;=('首頁'!$B$8*12),E323,"")</f>
      </c>
    </row>
    <row r="325" ht="22" customHeight="1" spans="1:7" x14ac:dyDescent="0.25">
      <c r="A325" s="40">
        <f>IF((ROW()-3)&lt;=('首頁'!$B$8*12),ROW()-3,"")</f>
      </c>
      <c r="B325" s="41">
        <f>IF((ROW()-3)&lt;=('首頁'!$B$8*12),C325+D325,"")</f>
      </c>
      <c r="C325" s="42">
        <f>IF((ROW()-3)&lt;=('首頁'!$B$8*12),G325*'首頁'!$B$7/12/100,"")</f>
      </c>
      <c r="D325" s="42">
        <f>IF((ROW()-3)&lt;=('首頁'!$B$8*12),IF(ROW()-3=('首頁'!$B$8*12),G325,MIN(G325,'首頁'!$B$13-C325)),"")</f>
      </c>
      <c r="E325" s="42">
        <f>IF((ROW()-3)&lt;=('首頁'!$B$8*12),G325-D325,"")</f>
      </c>
      <c r="G325" s="39">
        <f>IF((ROW()-3)&lt;=('首頁'!$B$8*12),E324,"")</f>
      </c>
    </row>
    <row r="326" ht="22" customHeight="1" spans="1:7" x14ac:dyDescent="0.25">
      <c r="A326" s="36">
        <f>IF((ROW()-3)&lt;=('首頁'!$B$8*12),ROW()-3,"")</f>
      </c>
      <c r="B326" s="37">
        <f>IF((ROW()-3)&lt;=('首頁'!$B$8*12),C326+D326,"")</f>
      </c>
      <c r="C326" s="38">
        <f>IF((ROW()-3)&lt;=('首頁'!$B$8*12),G326*'首頁'!$B$7/12/100,"")</f>
      </c>
      <c r="D326" s="38">
        <f>IF((ROW()-3)&lt;=('首頁'!$B$8*12),IF(ROW()-3=('首頁'!$B$8*12),G326,MIN(G326,'首頁'!$B$13-C326)),"")</f>
      </c>
      <c r="E326" s="38">
        <f>IF((ROW()-3)&lt;=('首頁'!$B$8*12),G326-D326,"")</f>
      </c>
      <c r="G326" s="39">
        <f>IF((ROW()-3)&lt;=('首頁'!$B$8*12),E325,"")</f>
      </c>
    </row>
    <row r="327" ht="22" customHeight="1" spans="1:7" x14ac:dyDescent="0.25">
      <c r="A327" s="40">
        <f>IF((ROW()-3)&lt;=('首頁'!$B$8*12),ROW()-3,"")</f>
      </c>
      <c r="B327" s="41">
        <f>IF((ROW()-3)&lt;=('首頁'!$B$8*12),C327+D327,"")</f>
      </c>
      <c r="C327" s="42">
        <f>IF((ROW()-3)&lt;=('首頁'!$B$8*12),G327*'首頁'!$B$7/12/100,"")</f>
      </c>
      <c r="D327" s="42">
        <f>IF((ROW()-3)&lt;=('首頁'!$B$8*12),IF(ROW()-3=('首頁'!$B$8*12),G327,MIN(G327,'首頁'!$B$13-C327)),"")</f>
      </c>
      <c r="E327" s="42">
        <f>IF((ROW()-3)&lt;=('首頁'!$B$8*12),G327-D327,"")</f>
      </c>
      <c r="G327" s="39">
        <f>IF((ROW()-3)&lt;=('首頁'!$B$8*12),E326,"")</f>
      </c>
    </row>
    <row r="328" ht="22" customHeight="1" spans="1:7" x14ac:dyDescent="0.25">
      <c r="A328" s="36">
        <f>IF((ROW()-3)&lt;=('首頁'!$B$8*12),ROW()-3,"")</f>
      </c>
      <c r="B328" s="37">
        <f>IF((ROW()-3)&lt;=('首頁'!$B$8*12),C328+D328,"")</f>
      </c>
      <c r="C328" s="38">
        <f>IF((ROW()-3)&lt;=('首頁'!$B$8*12),G328*'首頁'!$B$7/12/100,"")</f>
      </c>
      <c r="D328" s="38">
        <f>IF((ROW()-3)&lt;=('首頁'!$B$8*12),IF(ROW()-3=('首頁'!$B$8*12),G328,MIN(G328,'首頁'!$B$13-C328)),"")</f>
      </c>
      <c r="E328" s="38">
        <f>IF((ROW()-3)&lt;=('首頁'!$B$8*12),G328-D328,"")</f>
      </c>
      <c r="G328" s="39">
        <f>IF((ROW()-3)&lt;=('首頁'!$B$8*12),E327,"")</f>
      </c>
    </row>
    <row r="329" ht="22" customHeight="1" spans="1:7" x14ac:dyDescent="0.25">
      <c r="A329" s="40">
        <f>IF((ROW()-3)&lt;=('首頁'!$B$8*12),ROW()-3,"")</f>
      </c>
      <c r="B329" s="41">
        <f>IF((ROW()-3)&lt;=('首頁'!$B$8*12),C329+D329,"")</f>
      </c>
      <c r="C329" s="42">
        <f>IF((ROW()-3)&lt;=('首頁'!$B$8*12),G329*'首頁'!$B$7/12/100,"")</f>
      </c>
      <c r="D329" s="42">
        <f>IF((ROW()-3)&lt;=('首頁'!$B$8*12),IF(ROW()-3=('首頁'!$B$8*12),G329,MIN(G329,'首頁'!$B$13-C329)),"")</f>
      </c>
      <c r="E329" s="42">
        <f>IF((ROW()-3)&lt;=('首頁'!$B$8*12),G329-D329,"")</f>
      </c>
      <c r="G329" s="39">
        <f>IF((ROW()-3)&lt;=('首頁'!$B$8*12),E328,"")</f>
      </c>
    </row>
    <row r="330" ht="22" customHeight="1" spans="1:7" x14ac:dyDescent="0.25">
      <c r="A330" s="36">
        <f>IF((ROW()-3)&lt;=('首頁'!$B$8*12),ROW()-3,"")</f>
      </c>
      <c r="B330" s="37">
        <f>IF((ROW()-3)&lt;=('首頁'!$B$8*12),C330+D330,"")</f>
      </c>
      <c r="C330" s="38">
        <f>IF((ROW()-3)&lt;=('首頁'!$B$8*12),G330*'首頁'!$B$7/12/100,"")</f>
      </c>
      <c r="D330" s="38">
        <f>IF((ROW()-3)&lt;=('首頁'!$B$8*12),IF(ROW()-3=('首頁'!$B$8*12),G330,MIN(G330,'首頁'!$B$13-C330)),"")</f>
      </c>
      <c r="E330" s="38">
        <f>IF((ROW()-3)&lt;=('首頁'!$B$8*12),G330-D330,"")</f>
      </c>
      <c r="G330" s="39">
        <f>IF((ROW()-3)&lt;=('首頁'!$B$8*12),E329,"")</f>
      </c>
    </row>
    <row r="331" ht="22" customHeight="1" spans="1:7" x14ac:dyDescent="0.25">
      <c r="A331" s="40">
        <f>IF((ROW()-3)&lt;=('首頁'!$B$8*12),ROW()-3,"")</f>
      </c>
      <c r="B331" s="41">
        <f>IF((ROW()-3)&lt;=('首頁'!$B$8*12),C331+D331,"")</f>
      </c>
      <c r="C331" s="42">
        <f>IF((ROW()-3)&lt;=('首頁'!$B$8*12),G331*'首頁'!$B$7/12/100,"")</f>
      </c>
      <c r="D331" s="42">
        <f>IF((ROW()-3)&lt;=('首頁'!$B$8*12),IF(ROW()-3=('首頁'!$B$8*12),G331,MIN(G331,'首頁'!$B$13-C331)),"")</f>
      </c>
      <c r="E331" s="42">
        <f>IF((ROW()-3)&lt;=('首頁'!$B$8*12),G331-D331,"")</f>
      </c>
      <c r="G331" s="39">
        <f>IF((ROW()-3)&lt;=('首頁'!$B$8*12),E330,"")</f>
      </c>
    </row>
    <row r="332" ht="22" customHeight="1" spans="1:7" x14ac:dyDescent="0.25">
      <c r="A332" s="36">
        <f>IF((ROW()-3)&lt;=('首頁'!$B$8*12),ROW()-3,"")</f>
      </c>
      <c r="B332" s="37">
        <f>IF((ROW()-3)&lt;=('首頁'!$B$8*12),C332+D332,"")</f>
      </c>
      <c r="C332" s="38">
        <f>IF((ROW()-3)&lt;=('首頁'!$B$8*12),G332*'首頁'!$B$7/12/100,"")</f>
      </c>
      <c r="D332" s="38">
        <f>IF((ROW()-3)&lt;=('首頁'!$B$8*12),IF(ROW()-3=('首頁'!$B$8*12),G332,MIN(G332,'首頁'!$B$13-C332)),"")</f>
      </c>
      <c r="E332" s="38">
        <f>IF((ROW()-3)&lt;=('首頁'!$B$8*12),G332-D332,"")</f>
      </c>
      <c r="G332" s="39">
        <f>IF((ROW()-3)&lt;=('首頁'!$B$8*12),E331,"")</f>
      </c>
    </row>
    <row r="333" ht="22" customHeight="1" spans="1:7" x14ac:dyDescent="0.25">
      <c r="A333" s="40">
        <f>IF((ROW()-3)&lt;=('首頁'!$B$8*12),ROW()-3,"")</f>
      </c>
      <c r="B333" s="41">
        <f>IF((ROW()-3)&lt;=('首頁'!$B$8*12),C333+D333,"")</f>
      </c>
      <c r="C333" s="42">
        <f>IF((ROW()-3)&lt;=('首頁'!$B$8*12),G333*'首頁'!$B$7/12/100,"")</f>
      </c>
      <c r="D333" s="42">
        <f>IF((ROW()-3)&lt;=('首頁'!$B$8*12),IF(ROW()-3=('首頁'!$B$8*12),G333,MIN(G333,'首頁'!$B$13-C333)),"")</f>
      </c>
      <c r="E333" s="42">
        <f>IF((ROW()-3)&lt;=('首頁'!$B$8*12),G333-D333,"")</f>
      </c>
      <c r="G333" s="39">
        <f>IF((ROW()-3)&lt;=('首頁'!$B$8*12),E332,"")</f>
      </c>
    </row>
    <row r="334" ht="22" customHeight="1" spans="1:7" x14ac:dyDescent="0.25">
      <c r="A334" s="36">
        <f>IF((ROW()-3)&lt;=('首頁'!$B$8*12),ROW()-3,"")</f>
      </c>
      <c r="B334" s="37">
        <f>IF((ROW()-3)&lt;=('首頁'!$B$8*12),C334+D334,"")</f>
      </c>
      <c r="C334" s="38">
        <f>IF((ROW()-3)&lt;=('首頁'!$B$8*12),G334*'首頁'!$B$7/12/100,"")</f>
      </c>
      <c r="D334" s="38">
        <f>IF((ROW()-3)&lt;=('首頁'!$B$8*12),IF(ROW()-3=('首頁'!$B$8*12),G334,MIN(G334,'首頁'!$B$13-C334)),"")</f>
      </c>
      <c r="E334" s="38">
        <f>IF((ROW()-3)&lt;=('首頁'!$B$8*12),G334-D334,"")</f>
      </c>
      <c r="G334" s="39">
        <f>IF((ROW()-3)&lt;=('首頁'!$B$8*12),E333,"")</f>
      </c>
    </row>
    <row r="335" ht="22" customHeight="1" spans="1:7" x14ac:dyDescent="0.25">
      <c r="A335" s="40">
        <f>IF((ROW()-3)&lt;=('首頁'!$B$8*12),ROW()-3,"")</f>
      </c>
      <c r="B335" s="41">
        <f>IF((ROW()-3)&lt;=('首頁'!$B$8*12),C335+D335,"")</f>
      </c>
      <c r="C335" s="42">
        <f>IF((ROW()-3)&lt;=('首頁'!$B$8*12),G335*'首頁'!$B$7/12/100,"")</f>
      </c>
      <c r="D335" s="42">
        <f>IF((ROW()-3)&lt;=('首頁'!$B$8*12),IF(ROW()-3=('首頁'!$B$8*12),G335,MIN(G335,'首頁'!$B$13-C335)),"")</f>
      </c>
      <c r="E335" s="42">
        <f>IF((ROW()-3)&lt;=('首頁'!$B$8*12),G335-D335,"")</f>
      </c>
      <c r="G335" s="39">
        <f>IF((ROW()-3)&lt;=('首頁'!$B$8*12),E334,"")</f>
      </c>
    </row>
    <row r="336" ht="22" customHeight="1" spans="1:7" x14ac:dyDescent="0.25">
      <c r="A336" s="36">
        <f>IF((ROW()-3)&lt;=('首頁'!$B$8*12),ROW()-3,"")</f>
      </c>
      <c r="B336" s="37">
        <f>IF((ROW()-3)&lt;=('首頁'!$B$8*12),C336+D336,"")</f>
      </c>
      <c r="C336" s="38">
        <f>IF((ROW()-3)&lt;=('首頁'!$B$8*12),G336*'首頁'!$B$7/12/100,"")</f>
      </c>
      <c r="D336" s="38">
        <f>IF((ROW()-3)&lt;=('首頁'!$B$8*12),IF(ROW()-3=('首頁'!$B$8*12),G336,MIN(G336,'首頁'!$B$13-C336)),"")</f>
      </c>
      <c r="E336" s="38">
        <f>IF((ROW()-3)&lt;=('首頁'!$B$8*12),G336-D336,"")</f>
      </c>
      <c r="G336" s="39">
        <f>IF((ROW()-3)&lt;=('首頁'!$B$8*12),E335,"")</f>
      </c>
    </row>
    <row r="337" ht="22" customHeight="1" spans="1:7" x14ac:dyDescent="0.25">
      <c r="A337" s="40">
        <f>IF((ROW()-3)&lt;=('首頁'!$B$8*12),ROW()-3,"")</f>
      </c>
      <c r="B337" s="41">
        <f>IF((ROW()-3)&lt;=('首頁'!$B$8*12),C337+D337,"")</f>
      </c>
      <c r="C337" s="42">
        <f>IF((ROW()-3)&lt;=('首頁'!$B$8*12),G337*'首頁'!$B$7/12/100,"")</f>
      </c>
      <c r="D337" s="42">
        <f>IF((ROW()-3)&lt;=('首頁'!$B$8*12),IF(ROW()-3=('首頁'!$B$8*12),G337,MIN(G337,'首頁'!$B$13-C337)),"")</f>
      </c>
      <c r="E337" s="42">
        <f>IF((ROW()-3)&lt;=('首頁'!$B$8*12),G337-D337,"")</f>
      </c>
      <c r="G337" s="39">
        <f>IF((ROW()-3)&lt;=('首頁'!$B$8*12),E336,"")</f>
      </c>
    </row>
    <row r="338" ht="22" customHeight="1" spans="1:7" x14ac:dyDescent="0.25">
      <c r="A338" s="36">
        <f>IF((ROW()-3)&lt;=('首頁'!$B$8*12),ROW()-3,"")</f>
      </c>
      <c r="B338" s="37">
        <f>IF((ROW()-3)&lt;=('首頁'!$B$8*12),C338+D338,"")</f>
      </c>
      <c r="C338" s="38">
        <f>IF((ROW()-3)&lt;=('首頁'!$B$8*12),G338*'首頁'!$B$7/12/100,"")</f>
      </c>
      <c r="D338" s="38">
        <f>IF((ROW()-3)&lt;=('首頁'!$B$8*12),IF(ROW()-3=('首頁'!$B$8*12),G338,MIN(G338,'首頁'!$B$13-C338)),"")</f>
      </c>
      <c r="E338" s="38">
        <f>IF((ROW()-3)&lt;=('首頁'!$B$8*12),G338-D338,"")</f>
      </c>
      <c r="G338" s="39">
        <f>IF((ROW()-3)&lt;=('首頁'!$B$8*12),E337,"")</f>
      </c>
    </row>
    <row r="339" ht="22" customHeight="1" spans="1:7" x14ac:dyDescent="0.25">
      <c r="A339" s="40">
        <f>IF((ROW()-3)&lt;=('首頁'!$B$8*12),ROW()-3,"")</f>
      </c>
      <c r="B339" s="41">
        <f>IF((ROW()-3)&lt;=('首頁'!$B$8*12),C339+D339,"")</f>
      </c>
      <c r="C339" s="42">
        <f>IF((ROW()-3)&lt;=('首頁'!$B$8*12),G339*'首頁'!$B$7/12/100,"")</f>
      </c>
      <c r="D339" s="42">
        <f>IF((ROW()-3)&lt;=('首頁'!$B$8*12),IF(ROW()-3=('首頁'!$B$8*12),G339,MIN(G339,'首頁'!$B$13-C339)),"")</f>
      </c>
      <c r="E339" s="42">
        <f>IF((ROW()-3)&lt;=('首頁'!$B$8*12),G339-D339,"")</f>
      </c>
      <c r="G339" s="39">
        <f>IF((ROW()-3)&lt;=('首頁'!$B$8*12),E338,"")</f>
      </c>
    </row>
    <row r="340" ht="22" customHeight="1" spans="1:7" x14ac:dyDescent="0.25">
      <c r="A340" s="36">
        <f>IF((ROW()-3)&lt;=('首頁'!$B$8*12),ROW()-3,"")</f>
      </c>
      <c r="B340" s="37">
        <f>IF((ROW()-3)&lt;=('首頁'!$B$8*12),C340+D340,"")</f>
      </c>
      <c r="C340" s="38">
        <f>IF((ROW()-3)&lt;=('首頁'!$B$8*12),G340*'首頁'!$B$7/12/100,"")</f>
      </c>
      <c r="D340" s="38">
        <f>IF((ROW()-3)&lt;=('首頁'!$B$8*12),IF(ROW()-3=('首頁'!$B$8*12),G340,MIN(G340,'首頁'!$B$13-C340)),"")</f>
      </c>
      <c r="E340" s="38">
        <f>IF((ROW()-3)&lt;=('首頁'!$B$8*12),G340-D340,"")</f>
      </c>
      <c r="G340" s="39">
        <f>IF((ROW()-3)&lt;=('首頁'!$B$8*12),E339,"")</f>
      </c>
    </row>
    <row r="341" ht="22" customHeight="1" spans="1:7" x14ac:dyDescent="0.25">
      <c r="A341" s="40">
        <f>IF((ROW()-3)&lt;=('首頁'!$B$8*12),ROW()-3,"")</f>
      </c>
      <c r="B341" s="41">
        <f>IF((ROW()-3)&lt;=('首頁'!$B$8*12),C341+D341,"")</f>
      </c>
      <c r="C341" s="42">
        <f>IF((ROW()-3)&lt;=('首頁'!$B$8*12),G341*'首頁'!$B$7/12/100,"")</f>
      </c>
      <c r="D341" s="42">
        <f>IF((ROW()-3)&lt;=('首頁'!$B$8*12),IF(ROW()-3=('首頁'!$B$8*12),G341,MIN(G341,'首頁'!$B$13-C341)),"")</f>
      </c>
      <c r="E341" s="42">
        <f>IF((ROW()-3)&lt;=('首頁'!$B$8*12),G341-D341,"")</f>
      </c>
      <c r="G341" s="39">
        <f>IF((ROW()-3)&lt;=('首頁'!$B$8*12),E340,"")</f>
      </c>
    </row>
    <row r="342" ht="22" customHeight="1" spans="1:7" x14ac:dyDescent="0.25">
      <c r="A342" s="36">
        <f>IF((ROW()-3)&lt;=('首頁'!$B$8*12),ROW()-3,"")</f>
      </c>
      <c r="B342" s="37">
        <f>IF((ROW()-3)&lt;=('首頁'!$B$8*12),C342+D342,"")</f>
      </c>
      <c r="C342" s="38">
        <f>IF((ROW()-3)&lt;=('首頁'!$B$8*12),G342*'首頁'!$B$7/12/100,"")</f>
      </c>
      <c r="D342" s="38">
        <f>IF((ROW()-3)&lt;=('首頁'!$B$8*12),IF(ROW()-3=('首頁'!$B$8*12),G342,MIN(G342,'首頁'!$B$13-C342)),"")</f>
      </c>
      <c r="E342" s="38">
        <f>IF((ROW()-3)&lt;=('首頁'!$B$8*12),G342-D342,"")</f>
      </c>
      <c r="G342" s="39">
        <f>IF((ROW()-3)&lt;=('首頁'!$B$8*12),E341,"")</f>
      </c>
    </row>
    <row r="343" ht="22" customHeight="1" spans="1:7" x14ac:dyDescent="0.25">
      <c r="A343" s="40">
        <f>IF((ROW()-3)&lt;=('首頁'!$B$8*12),ROW()-3,"")</f>
      </c>
      <c r="B343" s="41">
        <f>IF((ROW()-3)&lt;=('首頁'!$B$8*12),C343+D343,"")</f>
      </c>
      <c r="C343" s="42">
        <f>IF((ROW()-3)&lt;=('首頁'!$B$8*12),G343*'首頁'!$B$7/12/100,"")</f>
      </c>
      <c r="D343" s="42">
        <f>IF((ROW()-3)&lt;=('首頁'!$B$8*12),IF(ROW()-3=('首頁'!$B$8*12),G343,MIN(G343,'首頁'!$B$13-C343)),"")</f>
      </c>
      <c r="E343" s="42">
        <f>IF((ROW()-3)&lt;=('首頁'!$B$8*12),G343-D343,"")</f>
      </c>
      <c r="G343" s="39">
        <f>IF((ROW()-3)&lt;=('首頁'!$B$8*12),E342,"")</f>
      </c>
    </row>
    <row r="344" ht="22" customHeight="1" spans="1:7" x14ac:dyDescent="0.25">
      <c r="A344" s="36">
        <f>IF((ROW()-3)&lt;=('首頁'!$B$8*12),ROW()-3,"")</f>
      </c>
      <c r="B344" s="37">
        <f>IF((ROW()-3)&lt;=('首頁'!$B$8*12),C344+D344,"")</f>
      </c>
      <c r="C344" s="38">
        <f>IF((ROW()-3)&lt;=('首頁'!$B$8*12),G344*'首頁'!$B$7/12/100,"")</f>
      </c>
      <c r="D344" s="38">
        <f>IF((ROW()-3)&lt;=('首頁'!$B$8*12),IF(ROW()-3=('首頁'!$B$8*12),G344,MIN(G344,'首頁'!$B$13-C344)),"")</f>
      </c>
      <c r="E344" s="38">
        <f>IF((ROW()-3)&lt;=('首頁'!$B$8*12),G344-D344,"")</f>
      </c>
      <c r="G344" s="39">
        <f>IF((ROW()-3)&lt;=('首頁'!$B$8*12),E343,"")</f>
      </c>
    </row>
    <row r="345" ht="22" customHeight="1" spans="1:7" x14ac:dyDescent="0.25">
      <c r="A345" s="40">
        <f>IF((ROW()-3)&lt;=('首頁'!$B$8*12),ROW()-3,"")</f>
      </c>
      <c r="B345" s="41">
        <f>IF((ROW()-3)&lt;=('首頁'!$B$8*12),C345+D345,"")</f>
      </c>
      <c r="C345" s="42">
        <f>IF((ROW()-3)&lt;=('首頁'!$B$8*12),G345*'首頁'!$B$7/12/100,"")</f>
      </c>
      <c r="D345" s="42">
        <f>IF((ROW()-3)&lt;=('首頁'!$B$8*12),IF(ROW()-3=('首頁'!$B$8*12),G345,MIN(G345,'首頁'!$B$13-C345)),"")</f>
      </c>
      <c r="E345" s="42">
        <f>IF((ROW()-3)&lt;=('首頁'!$B$8*12),G345-D345,"")</f>
      </c>
      <c r="G345" s="39">
        <f>IF((ROW()-3)&lt;=('首頁'!$B$8*12),E344,"")</f>
      </c>
    </row>
    <row r="346" ht="22" customHeight="1" spans="1:7" x14ac:dyDescent="0.25">
      <c r="A346" s="36">
        <f>IF((ROW()-3)&lt;=('首頁'!$B$8*12),ROW()-3,"")</f>
      </c>
      <c r="B346" s="37">
        <f>IF((ROW()-3)&lt;=('首頁'!$B$8*12),C346+D346,"")</f>
      </c>
      <c r="C346" s="38">
        <f>IF((ROW()-3)&lt;=('首頁'!$B$8*12),G346*'首頁'!$B$7/12/100,"")</f>
      </c>
      <c r="D346" s="38">
        <f>IF((ROW()-3)&lt;=('首頁'!$B$8*12),IF(ROW()-3=('首頁'!$B$8*12),G346,MIN(G346,'首頁'!$B$13-C346)),"")</f>
      </c>
      <c r="E346" s="38">
        <f>IF((ROW()-3)&lt;=('首頁'!$B$8*12),G346-D346,"")</f>
      </c>
      <c r="G346" s="39">
        <f>IF((ROW()-3)&lt;=('首頁'!$B$8*12),E345,"")</f>
      </c>
    </row>
    <row r="347" ht="22" customHeight="1" spans="1:7" x14ac:dyDescent="0.25">
      <c r="A347" s="40">
        <f>IF((ROW()-3)&lt;=('首頁'!$B$8*12),ROW()-3,"")</f>
      </c>
      <c r="B347" s="41">
        <f>IF((ROW()-3)&lt;=('首頁'!$B$8*12),C347+D347,"")</f>
      </c>
      <c r="C347" s="42">
        <f>IF((ROW()-3)&lt;=('首頁'!$B$8*12),G347*'首頁'!$B$7/12/100,"")</f>
      </c>
      <c r="D347" s="42">
        <f>IF((ROW()-3)&lt;=('首頁'!$B$8*12),IF(ROW()-3=('首頁'!$B$8*12),G347,MIN(G347,'首頁'!$B$13-C347)),"")</f>
      </c>
      <c r="E347" s="42">
        <f>IF((ROW()-3)&lt;=('首頁'!$B$8*12),G347-D347,"")</f>
      </c>
      <c r="G347" s="39">
        <f>IF((ROW()-3)&lt;=('首頁'!$B$8*12),E346,"")</f>
      </c>
    </row>
    <row r="348" ht="22" customHeight="1" spans="1:7" x14ac:dyDescent="0.25">
      <c r="A348" s="36">
        <f>IF((ROW()-3)&lt;=('首頁'!$B$8*12),ROW()-3,"")</f>
      </c>
      <c r="B348" s="37">
        <f>IF((ROW()-3)&lt;=('首頁'!$B$8*12),C348+D348,"")</f>
      </c>
      <c r="C348" s="38">
        <f>IF((ROW()-3)&lt;=('首頁'!$B$8*12),G348*'首頁'!$B$7/12/100,"")</f>
      </c>
      <c r="D348" s="38">
        <f>IF((ROW()-3)&lt;=('首頁'!$B$8*12),IF(ROW()-3=('首頁'!$B$8*12),G348,MIN(G348,'首頁'!$B$13-C348)),"")</f>
      </c>
      <c r="E348" s="38">
        <f>IF((ROW()-3)&lt;=('首頁'!$B$8*12),G348-D348,"")</f>
      </c>
      <c r="G348" s="39">
        <f>IF((ROW()-3)&lt;=('首頁'!$B$8*12),E347,"")</f>
      </c>
    </row>
    <row r="349" ht="22" customHeight="1" spans="1:7" x14ac:dyDescent="0.25">
      <c r="A349" s="40">
        <f>IF((ROW()-3)&lt;=('首頁'!$B$8*12),ROW()-3,"")</f>
      </c>
      <c r="B349" s="41">
        <f>IF((ROW()-3)&lt;=('首頁'!$B$8*12),C349+D349,"")</f>
      </c>
      <c r="C349" s="42">
        <f>IF((ROW()-3)&lt;=('首頁'!$B$8*12),G349*'首頁'!$B$7/12/100,"")</f>
      </c>
      <c r="D349" s="42">
        <f>IF((ROW()-3)&lt;=('首頁'!$B$8*12),IF(ROW()-3=('首頁'!$B$8*12),G349,MIN(G349,'首頁'!$B$13-C349)),"")</f>
      </c>
      <c r="E349" s="42">
        <f>IF((ROW()-3)&lt;=('首頁'!$B$8*12),G349-D349,"")</f>
      </c>
      <c r="G349" s="39">
        <f>IF((ROW()-3)&lt;=('首頁'!$B$8*12),E348,"")</f>
      </c>
    </row>
    <row r="350" ht="22" customHeight="1" spans="1:7" x14ac:dyDescent="0.25">
      <c r="A350" s="36">
        <f>IF((ROW()-3)&lt;=('首頁'!$B$8*12),ROW()-3,"")</f>
      </c>
      <c r="B350" s="37">
        <f>IF((ROW()-3)&lt;=('首頁'!$B$8*12),C350+D350,"")</f>
      </c>
      <c r="C350" s="38">
        <f>IF((ROW()-3)&lt;=('首頁'!$B$8*12),G350*'首頁'!$B$7/12/100,"")</f>
      </c>
      <c r="D350" s="38">
        <f>IF((ROW()-3)&lt;=('首頁'!$B$8*12),IF(ROW()-3=('首頁'!$B$8*12),G350,MIN(G350,'首頁'!$B$13-C350)),"")</f>
      </c>
      <c r="E350" s="38">
        <f>IF((ROW()-3)&lt;=('首頁'!$B$8*12),G350-D350,"")</f>
      </c>
      <c r="G350" s="39">
        <f>IF((ROW()-3)&lt;=('首頁'!$B$8*12),E349,"")</f>
      </c>
    </row>
    <row r="351" ht="22" customHeight="1" spans="1:7" x14ac:dyDescent="0.25">
      <c r="A351" s="40">
        <f>IF((ROW()-3)&lt;=('首頁'!$B$8*12),ROW()-3,"")</f>
      </c>
      <c r="B351" s="41">
        <f>IF((ROW()-3)&lt;=('首頁'!$B$8*12),C351+D351,"")</f>
      </c>
      <c r="C351" s="42">
        <f>IF((ROW()-3)&lt;=('首頁'!$B$8*12),G351*'首頁'!$B$7/12/100,"")</f>
      </c>
      <c r="D351" s="42">
        <f>IF((ROW()-3)&lt;=('首頁'!$B$8*12),IF(ROW()-3=('首頁'!$B$8*12),G351,MIN(G351,'首頁'!$B$13-C351)),"")</f>
      </c>
      <c r="E351" s="42">
        <f>IF((ROW()-3)&lt;=('首頁'!$B$8*12),G351-D351,"")</f>
      </c>
      <c r="G351" s="39">
        <f>IF((ROW()-3)&lt;=('首頁'!$B$8*12),E350,"")</f>
      </c>
    </row>
    <row r="352" ht="22" customHeight="1" spans="1:7" x14ac:dyDescent="0.25">
      <c r="A352" s="36">
        <f>IF((ROW()-3)&lt;=('首頁'!$B$8*12),ROW()-3,"")</f>
      </c>
      <c r="B352" s="37">
        <f>IF((ROW()-3)&lt;=('首頁'!$B$8*12),C352+D352,"")</f>
      </c>
      <c r="C352" s="38">
        <f>IF((ROW()-3)&lt;=('首頁'!$B$8*12),G352*'首頁'!$B$7/12/100,"")</f>
      </c>
      <c r="D352" s="38">
        <f>IF((ROW()-3)&lt;=('首頁'!$B$8*12),IF(ROW()-3=('首頁'!$B$8*12),G352,MIN(G352,'首頁'!$B$13-C352)),"")</f>
      </c>
      <c r="E352" s="38">
        <f>IF((ROW()-3)&lt;=('首頁'!$B$8*12),G352-D352,"")</f>
      </c>
      <c r="G352" s="39">
        <f>IF((ROW()-3)&lt;=('首頁'!$B$8*12),E351,"")</f>
      </c>
    </row>
    <row r="353" ht="22" customHeight="1" spans="1:7" x14ac:dyDescent="0.25">
      <c r="A353" s="40">
        <f>IF((ROW()-3)&lt;=('首頁'!$B$8*12),ROW()-3,"")</f>
      </c>
      <c r="B353" s="41">
        <f>IF((ROW()-3)&lt;=('首頁'!$B$8*12),C353+D353,"")</f>
      </c>
      <c r="C353" s="42">
        <f>IF((ROW()-3)&lt;=('首頁'!$B$8*12),G353*'首頁'!$B$7/12/100,"")</f>
      </c>
      <c r="D353" s="42">
        <f>IF((ROW()-3)&lt;=('首頁'!$B$8*12),IF(ROW()-3=('首頁'!$B$8*12),G353,MIN(G353,'首頁'!$B$13-C353)),"")</f>
      </c>
      <c r="E353" s="42">
        <f>IF((ROW()-3)&lt;=('首頁'!$B$8*12),G353-D353,"")</f>
      </c>
      <c r="G353" s="39">
        <f>IF((ROW()-3)&lt;=('首頁'!$B$8*12),E352,"")</f>
      </c>
    </row>
    <row r="354" ht="22" customHeight="1" spans="1:7" x14ac:dyDescent="0.25">
      <c r="A354" s="36">
        <f>IF((ROW()-3)&lt;=('首頁'!$B$8*12),ROW()-3,"")</f>
      </c>
      <c r="B354" s="37">
        <f>IF((ROW()-3)&lt;=('首頁'!$B$8*12),C354+D354,"")</f>
      </c>
      <c r="C354" s="38">
        <f>IF((ROW()-3)&lt;=('首頁'!$B$8*12),G354*'首頁'!$B$7/12/100,"")</f>
      </c>
      <c r="D354" s="38">
        <f>IF((ROW()-3)&lt;=('首頁'!$B$8*12),IF(ROW()-3=('首頁'!$B$8*12),G354,MIN(G354,'首頁'!$B$13-C354)),"")</f>
      </c>
      <c r="E354" s="38">
        <f>IF((ROW()-3)&lt;=('首頁'!$B$8*12),G354-D354,"")</f>
      </c>
      <c r="G354" s="39">
        <f>IF((ROW()-3)&lt;=('首頁'!$B$8*12),E353,"")</f>
      </c>
    </row>
    <row r="355" ht="22" customHeight="1" spans="1:7" x14ac:dyDescent="0.25">
      <c r="A355" s="40">
        <f>IF((ROW()-3)&lt;=('首頁'!$B$8*12),ROW()-3,"")</f>
      </c>
      <c r="B355" s="41">
        <f>IF((ROW()-3)&lt;=('首頁'!$B$8*12),C355+D355,"")</f>
      </c>
      <c r="C355" s="42">
        <f>IF((ROW()-3)&lt;=('首頁'!$B$8*12),G355*'首頁'!$B$7/12/100,"")</f>
      </c>
      <c r="D355" s="42">
        <f>IF((ROW()-3)&lt;=('首頁'!$B$8*12),IF(ROW()-3=('首頁'!$B$8*12),G355,MIN(G355,'首頁'!$B$13-C355)),"")</f>
      </c>
      <c r="E355" s="42">
        <f>IF((ROW()-3)&lt;=('首頁'!$B$8*12),G355-D355,"")</f>
      </c>
      <c r="G355" s="39">
        <f>IF((ROW()-3)&lt;=('首頁'!$B$8*12),E354,"")</f>
      </c>
    </row>
    <row r="356" ht="22" customHeight="1" spans="1:7" x14ac:dyDescent="0.25">
      <c r="A356" s="36">
        <f>IF((ROW()-3)&lt;=('首頁'!$B$8*12),ROW()-3,"")</f>
      </c>
      <c r="B356" s="37">
        <f>IF((ROW()-3)&lt;=('首頁'!$B$8*12),C356+D356,"")</f>
      </c>
      <c r="C356" s="38">
        <f>IF((ROW()-3)&lt;=('首頁'!$B$8*12),G356*'首頁'!$B$7/12/100,"")</f>
      </c>
      <c r="D356" s="38">
        <f>IF((ROW()-3)&lt;=('首頁'!$B$8*12),IF(ROW()-3=('首頁'!$B$8*12),G356,MIN(G356,'首頁'!$B$13-C356)),"")</f>
      </c>
      <c r="E356" s="38">
        <f>IF((ROW()-3)&lt;=('首頁'!$B$8*12),G356-D356,"")</f>
      </c>
      <c r="G356" s="39">
        <f>IF((ROW()-3)&lt;=('首頁'!$B$8*12),E355,"")</f>
      </c>
    </row>
    <row r="357" ht="22" customHeight="1" spans="1:7" x14ac:dyDescent="0.25">
      <c r="A357" s="40">
        <f>IF((ROW()-3)&lt;=('首頁'!$B$8*12),ROW()-3,"")</f>
      </c>
      <c r="B357" s="41">
        <f>IF((ROW()-3)&lt;=('首頁'!$B$8*12),C357+D357,"")</f>
      </c>
      <c r="C357" s="42">
        <f>IF((ROW()-3)&lt;=('首頁'!$B$8*12),G357*'首頁'!$B$7/12/100,"")</f>
      </c>
      <c r="D357" s="42">
        <f>IF((ROW()-3)&lt;=('首頁'!$B$8*12),IF(ROW()-3=('首頁'!$B$8*12),G357,MIN(G357,'首頁'!$B$13-C357)),"")</f>
      </c>
      <c r="E357" s="42">
        <f>IF((ROW()-3)&lt;=('首頁'!$B$8*12),G357-D357,"")</f>
      </c>
      <c r="G357" s="39">
        <f>IF((ROW()-3)&lt;=('首頁'!$B$8*12),E356,"")</f>
      </c>
    </row>
    <row r="358" ht="22" customHeight="1" spans="1:7" x14ac:dyDescent="0.25">
      <c r="A358" s="36">
        <f>IF((ROW()-3)&lt;=('首頁'!$B$8*12),ROW()-3,"")</f>
      </c>
      <c r="B358" s="37">
        <f>IF((ROW()-3)&lt;=('首頁'!$B$8*12),C358+D358,"")</f>
      </c>
      <c r="C358" s="38">
        <f>IF((ROW()-3)&lt;=('首頁'!$B$8*12),G358*'首頁'!$B$7/12/100,"")</f>
      </c>
      <c r="D358" s="38">
        <f>IF((ROW()-3)&lt;=('首頁'!$B$8*12),IF(ROW()-3=('首頁'!$B$8*12),G358,MIN(G358,'首頁'!$B$13-C358)),"")</f>
      </c>
      <c r="E358" s="38">
        <f>IF((ROW()-3)&lt;=('首頁'!$B$8*12),G358-D358,"")</f>
      </c>
      <c r="G358" s="39">
        <f>IF((ROW()-3)&lt;=('首頁'!$B$8*12),E357,"")</f>
      </c>
    </row>
    <row r="359" ht="22" customHeight="1" spans="1:7" x14ac:dyDescent="0.25">
      <c r="A359" s="40">
        <f>IF((ROW()-3)&lt;=('首頁'!$B$8*12),ROW()-3,"")</f>
      </c>
      <c r="B359" s="41">
        <f>IF((ROW()-3)&lt;=('首頁'!$B$8*12),C359+D359,"")</f>
      </c>
      <c r="C359" s="42">
        <f>IF((ROW()-3)&lt;=('首頁'!$B$8*12),G359*'首頁'!$B$7/12/100,"")</f>
      </c>
      <c r="D359" s="42">
        <f>IF((ROW()-3)&lt;=('首頁'!$B$8*12),IF(ROW()-3=('首頁'!$B$8*12),G359,MIN(G359,'首頁'!$B$13-C359)),"")</f>
      </c>
      <c r="E359" s="42">
        <f>IF((ROW()-3)&lt;=('首頁'!$B$8*12),G359-D359,"")</f>
      </c>
      <c r="G359" s="39">
        <f>IF((ROW()-3)&lt;=('首頁'!$B$8*12),E358,"")</f>
      </c>
    </row>
    <row r="360" ht="22" customHeight="1" spans="1:7" x14ac:dyDescent="0.25">
      <c r="A360" s="36">
        <f>IF((ROW()-3)&lt;=('首頁'!$B$8*12),ROW()-3,"")</f>
      </c>
      <c r="B360" s="37">
        <f>IF((ROW()-3)&lt;=('首頁'!$B$8*12),C360+D360,"")</f>
      </c>
      <c r="C360" s="38">
        <f>IF((ROW()-3)&lt;=('首頁'!$B$8*12),G360*'首頁'!$B$7/12/100,"")</f>
      </c>
      <c r="D360" s="38">
        <f>IF((ROW()-3)&lt;=('首頁'!$B$8*12),IF(ROW()-3=('首頁'!$B$8*12),G360,MIN(G360,'首頁'!$B$13-C360)),"")</f>
      </c>
      <c r="E360" s="38">
        <f>IF((ROW()-3)&lt;=('首頁'!$B$8*12),G360-D360,"")</f>
      </c>
      <c r="G360" s="39">
        <f>IF((ROW()-3)&lt;=('首頁'!$B$8*12),E359,"")</f>
      </c>
    </row>
    <row r="361" ht="22" customHeight="1" spans="1:7" x14ac:dyDescent="0.25">
      <c r="A361" s="40">
        <f>IF((ROW()-3)&lt;=('首頁'!$B$8*12),ROW()-3,"")</f>
      </c>
      <c r="B361" s="41">
        <f>IF((ROW()-3)&lt;=('首頁'!$B$8*12),C361+D361,"")</f>
      </c>
      <c r="C361" s="42">
        <f>IF((ROW()-3)&lt;=('首頁'!$B$8*12),G361*'首頁'!$B$7/12/100,"")</f>
      </c>
      <c r="D361" s="42">
        <f>IF((ROW()-3)&lt;=('首頁'!$B$8*12),IF(ROW()-3=('首頁'!$B$8*12),G361,MIN(G361,'首頁'!$B$13-C361)),"")</f>
      </c>
      <c r="E361" s="42">
        <f>IF((ROW()-3)&lt;=('首頁'!$B$8*12),G361-D361,"")</f>
      </c>
      <c r="G361" s="39">
        <f>IF((ROW()-3)&lt;=('首頁'!$B$8*12),E360,"")</f>
      </c>
    </row>
    <row r="362" ht="22" customHeight="1" spans="1:7" x14ac:dyDescent="0.25">
      <c r="A362" s="36">
        <f>IF((ROW()-3)&lt;=('首頁'!$B$8*12),ROW()-3,"")</f>
      </c>
      <c r="B362" s="37">
        <f>IF((ROW()-3)&lt;=('首頁'!$B$8*12),C362+D362,"")</f>
      </c>
      <c r="C362" s="38">
        <f>IF((ROW()-3)&lt;=('首頁'!$B$8*12),G362*'首頁'!$B$7/12/100,"")</f>
      </c>
      <c r="D362" s="38">
        <f>IF((ROW()-3)&lt;=('首頁'!$B$8*12),IF(ROW()-3=('首頁'!$B$8*12),G362,MIN(G362,'首頁'!$B$13-C362)),"")</f>
      </c>
      <c r="E362" s="38">
        <f>IF((ROW()-3)&lt;=('首頁'!$B$8*12),G362-D362,"")</f>
      </c>
      <c r="G362" s="39">
        <f>IF((ROW()-3)&lt;=('首頁'!$B$8*12),E361,"")</f>
      </c>
    </row>
    <row r="363" ht="22" customHeight="1" spans="1:7" x14ac:dyDescent="0.25">
      <c r="A363" s="40">
        <f>IF((ROW()-3)&lt;=('首頁'!$B$8*12),ROW()-3,"")</f>
      </c>
      <c r="B363" s="41">
        <f>IF((ROW()-3)&lt;=('首頁'!$B$8*12),C363+D363,"")</f>
      </c>
      <c r="C363" s="42">
        <f>IF((ROW()-3)&lt;=('首頁'!$B$8*12),G363*'首頁'!$B$7/12/100,"")</f>
      </c>
      <c r="D363" s="42">
        <f>IF((ROW()-3)&lt;=('首頁'!$B$8*12),IF(ROW()-3=('首頁'!$B$8*12),G363,MIN(G363,'首頁'!$B$13-C363)),"")</f>
      </c>
      <c r="E363" s="42">
        <f>IF((ROW()-3)&lt;=('首頁'!$B$8*12),G363-D363,"")</f>
      </c>
      <c r="G363" s="39">
        <f>IF((ROW()-3)&lt;=('首頁'!$B$8*12),E362,"")</f>
      </c>
    </row>
    <row r="364" ht="22" customHeight="1" spans="1:7" x14ac:dyDescent="0.25">
      <c r="A364" s="36">
        <f>IF((ROW()-3)&lt;=('首頁'!$B$8*12),ROW()-3,"")</f>
      </c>
      <c r="B364" s="37">
        <f>IF((ROW()-3)&lt;=('首頁'!$B$8*12),C364+D364,"")</f>
      </c>
      <c r="C364" s="38">
        <f>IF((ROW()-3)&lt;=('首頁'!$B$8*12),G364*'首頁'!$B$7/12/100,"")</f>
      </c>
      <c r="D364" s="38">
        <f>IF((ROW()-3)&lt;=('首頁'!$B$8*12),IF(ROW()-3=('首頁'!$B$8*12),G364,MIN(G364,'首頁'!$B$13-C364)),"")</f>
      </c>
      <c r="E364" s="38">
        <f>IF((ROW()-3)&lt;=('首頁'!$B$8*12),G364-D364,"")</f>
      </c>
      <c r="G364" s="39">
        <f>IF((ROW()-3)&lt;=('首頁'!$B$8*12),E363,"")</f>
      </c>
    </row>
    <row r="365" ht="22" customHeight="1" spans="1:7" x14ac:dyDescent="0.25">
      <c r="A365" s="40">
        <f>IF((ROW()-3)&lt;=('首頁'!$B$8*12),ROW()-3,"")</f>
      </c>
      <c r="B365" s="41">
        <f>IF((ROW()-3)&lt;=('首頁'!$B$8*12),C365+D365,"")</f>
      </c>
      <c r="C365" s="42">
        <f>IF((ROW()-3)&lt;=('首頁'!$B$8*12),G365*'首頁'!$B$7/12/100,"")</f>
      </c>
      <c r="D365" s="42">
        <f>IF((ROW()-3)&lt;=('首頁'!$B$8*12),IF(ROW()-3=('首頁'!$B$8*12),G365,MIN(G365,'首頁'!$B$13-C365)),"")</f>
      </c>
      <c r="E365" s="42">
        <f>IF((ROW()-3)&lt;=('首頁'!$B$8*12),G365-D365,"")</f>
      </c>
      <c r="G365" s="39">
        <f>IF((ROW()-3)&lt;=('首頁'!$B$8*12),E364,"")</f>
      </c>
    </row>
    <row r="366" ht="22" customHeight="1" spans="1:7" x14ac:dyDescent="0.25">
      <c r="A366" s="36">
        <f>IF((ROW()-3)&lt;=('首頁'!$B$8*12),ROW()-3,"")</f>
      </c>
      <c r="B366" s="37">
        <f>IF((ROW()-3)&lt;=('首頁'!$B$8*12),C366+D366,"")</f>
      </c>
      <c r="C366" s="38">
        <f>IF((ROW()-3)&lt;=('首頁'!$B$8*12),G366*'首頁'!$B$7/12/100,"")</f>
      </c>
      <c r="D366" s="38">
        <f>IF((ROW()-3)&lt;=('首頁'!$B$8*12),IF(ROW()-3=('首頁'!$B$8*12),G366,MIN(G366,'首頁'!$B$13-C366)),"")</f>
      </c>
      <c r="E366" s="38">
        <f>IF((ROW()-3)&lt;=('首頁'!$B$8*12),G366-D366,"")</f>
      </c>
      <c r="G366" s="39">
        <f>IF((ROW()-3)&lt;=('首頁'!$B$8*12),E365,"")</f>
      </c>
    </row>
    <row r="367" ht="22" customHeight="1" spans="1:7" x14ac:dyDescent="0.25">
      <c r="A367" s="40">
        <f>IF((ROW()-3)&lt;=('首頁'!$B$8*12),ROW()-3,"")</f>
      </c>
      <c r="B367" s="41">
        <f>IF((ROW()-3)&lt;=('首頁'!$B$8*12),C367+D367,"")</f>
      </c>
      <c r="C367" s="42">
        <f>IF((ROW()-3)&lt;=('首頁'!$B$8*12),G367*'首頁'!$B$7/12/100,"")</f>
      </c>
      <c r="D367" s="42">
        <f>IF((ROW()-3)&lt;=('首頁'!$B$8*12),IF(ROW()-3=('首頁'!$B$8*12),G367,MIN(G367,'首頁'!$B$13-C367)),"")</f>
      </c>
      <c r="E367" s="42">
        <f>IF((ROW()-3)&lt;=('首頁'!$B$8*12),G367-D367,"")</f>
      </c>
      <c r="G367" s="39">
        <f>IF((ROW()-3)&lt;=('首頁'!$B$8*12),E366,"")</f>
      </c>
    </row>
    <row r="368" ht="22" customHeight="1" spans="1:7" x14ac:dyDescent="0.25">
      <c r="A368" s="36">
        <f>IF((ROW()-3)&lt;=('首頁'!$B$8*12),ROW()-3,"")</f>
      </c>
      <c r="B368" s="37">
        <f>IF((ROW()-3)&lt;=('首頁'!$B$8*12),C368+D368,"")</f>
      </c>
      <c r="C368" s="38">
        <f>IF((ROW()-3)&lt;=('首頁'!$B$8*12),G368*'首頁'!$B$7/12/100,"")</f>
      </c>
      <c r="D368" s="38">
        <f>IF((ROW()-3)&lt;=('首頁'!$B$8*12),IF(ROW()-3=('首頁'!$B$8*12),G368,MIN(G368,'首頁'!$B$13-C368)),"")</f>
      </c>
      <c r="E368" s="38">
        <f>IF((ROW()-3)&lt;=('首頁'!$B$8*12),G368-D368,"")</f>
      </c>
      <c r="G368" s="39">
        <f>IF((ROW()-3)&lt;=('首頁'!$B$8*12),E367,"")</f>
      </c>
    </row>
    <row r="369" ht="22" customHeight="1" spans="1:7" x14ac:dyDescent="0.25">
      <c r="A369" s="40">
        <f>IF((ROW()-3)&lt;=('首頁'!$B$8*12),ROW()-3,"")</f>
      </c>
      <c r="B369" s="41">
        <f>IF((ROW()-3)&lt;=('首頁'!$B$8*12),C369+D369,"")</f>
      </c>
      <c r="C369" s="42">
        <f>IF((ROW()-3)&lt;=('首頁'!$B$8*12),G369*'首頁'!$B$7/12/100,"")</f>
      </c>
      <c r="D369" s="42">
        <f>IF((ROW()-3)&lt;=('首頁'!$B$8*12),IF(ROW()-3=('首頁'!$B$8*12),G369,MIN(G369,'首頁'!$B$13-C369)),"")</f>
      </c>
      <c r="E369" s="42">
        <f>IF((ROW()-3)&lt;=('首頁'!$B$8*12),G369-D369,"")</f>
      </c>
      <c r="G369" s="39">
        <f>IF((ROW()-3)&lt;=('首頁'!$B$8*12),E368,"")</f>
      </c>
    </row>
    <row r="370" ht="22" customHeight="1" spans="1:7" x14ac:dyDescent="0.25">
      <c r="A370" s="36">
        <f>IF((ROW()-3)&lt;=('首頁'!$B$8*12),ROW()-3,"")</f>
      </c>
      <c r="B370" s="37">
        <f>IF((ROW()-3)&lt;=('首頁'!$B$8*12),C370+D370,"")</f>
      </c>
      <c r="C370" s="38">
        <f>IF((ROW()-3)&lt;=('首頁'!$B$8*12),G370*'首頁'!$B$7/12/100,"")</f>
      </c>
      <c r="D370" s="38">
        <f>IF((ROW()-3)&lt;=('首頁'!$B$8*12),IF(ROW()-3=('首頁'!$B$8*12),G370,MIN(G370,'首頁'!$B$13-C370)),"")</f>
      </c>
      <c r="E370" s="38">
        <f>IF((ROW()-3)&lt;=('首頁'!$B$8*12),G370-D370,"")</f>
      </c>
      <c r="G370" s="39">
        <f>IF((ROW()-3)&lt;=('首頁'!$B$8*12),E369,"")</f>
      </c>
    </row>
    <row r="371" ht="22" customHeight="1" spans="1:7" x14ac:dyDescent="0.25">
      <c r="A371" s="40">
        <f>IF((ROW()-3)&lt;=('首頁'!$B$8*12),ROW()-3,"")</f>
      </c>
      <c r="B371" s="41">
        <f>IF((ROW()-3)&lt;=('首頁'!$B$8*12),C371+D371,"")</f>
      </c>
      <c r="C371" s="42">
        <f>IF((ROW()-3)&lt;=('首頁'!$B$8*12),G371*'首頁'!$B$7/12/100,"")</f>
      </c>
      <c r="D371" s="42">
        <f>IF((ROW()-3)&lt;=('首頁'!$B$8*12),IF(ROW()-3=('首頁'!$B$8*12),G371,MIN(G371,'首頁'!$B$13-C371)),"")</f>
      </c>
      <c r="E371" s="42">
        <f>IF((ROW()-3)&lt;=('首頁'!$B$8*12),G371-D371,"")</f>
      </c>
      <c r="G371" s="39">
        <f>IF((ROW()-3)&lt;=('首頁'!$B$8*12),E370,"")</f>
      </c>
    </row>
    <row r="372" ht="22" customHeight="1" spans="1:7" x14ac:dyDescent="0.25">
      <c r="A372" s="36">
        <f>IF((ROW()-3)&lt;=('首頁'!$B$8*12),ROW()-3,"")</f>
      </c>
      <c r="B372" s="37">
        <f>IF((ROW()-3)&lt;=('首頁'!$B$8*12),C372+D372,"")</f>
      </c>
      <c r="C372" s="38">
        <f>IF((ROW()-3)&lt;=('首頁'!$B$8*12),G372*'首頁'!$B$7/12/100,"")</f>
      </c>
      <c r="D372" s="38">
        <f>IF((ROW()-3)&lt;=('首頁'!$B$8*12),IF(ROW()-3=('首頁'!$B$8*12),G372,MIN(G372,'首頁'!$B$13-C372)),"")</f>
      </c>
      <c r="E372" s="38">
        <f>IF((ROW()-3)&lt;=('首頁'!$B$8*12),G372-D372,"")</f>
      </c>
      <c r="G372" s="39">
        <f>IF((ROW()-3)&lt;=('首頁'!$B$8*12),E371,"")</f>
      </c>
    </row>
    <row r="373" ht="22" customHeight="1" spans="1:7" x14ac:dyDescent="0.25">
      <c r="A373" s="40">
        <f>IF((ROW()-3)&lt;=('首頁'!$B$8*12),ROW()-3,"")</f>
      </c>
      <c r="B373" s="41">
        <f>IF((ROW()-3)&lt;=('首頁'!$B$8*12),C373+D373,"")</f>
      </c>
      <c r="C373" s="42">
        <f>IF((ROW()-3)&lt;=('首頁'!$B$8*12),G373*'首頁'!$B$7/12/100,"")</f>
      </c>
      <c r="D373" s="42">
        <f>IF((ROW()-3)&lt;=('首頁'!$B$8*12),IF(ROW()-3=('首頁'!$B$8*12),G373,MIN(G373,'首頁'!$B$13-C373)),"")</f>
      </c>
      <c r="E373" s="42">
        <f>IF((ROW()-3)&lt;=('首頁'!$B$8*12),G373-D373,"")</f>
      </c>
      <c r="G373" s="39">
        <f>IF((ROW()-3)&lt;=('首頁'!$B$8*12),E372,"")</f>
      </c>
    </row>
    <row r="374" ht="22" customHeight="1" spans="1:7" x14ac:dyDescent="0.25">
      <c r="A374" s="36">
        <f>IF((ROW()-3)&lt;=('首頁'!$B$8*12),ROW()-3,"")</f>
      </c>
      <c r="B374" s="37">
        <f>IF((ROW()-3)&lt;=('首頁'!$B$8*12),C374+D374,"")</f>
      </c>
      <c r="C374" s="38">
        <f>IF((ROW()-3)&lt;=('首頁'!$B$8*12),G374*'首頁'!$B$7/12/100,"")</f>
      </c>
      <c r="D374" s="38">
        <f>IF((ROW()-3)&lt;=('首頁'!$B$8*12),IF(ROW()-3=('首頁'!$B$8*12),G374,MIN(G374,'首頁'!$B$13-C374)),"")</f>
      </c>
      <c r="E374" s="38">
        <f>IF((ROW()-3)&lt;=('首頁'!$B$8*12),G374-D374,"")</f>
      </c>
      <c r="G374" s="39">
        <f>IF((ROW()-3)&lt;=('首頁'!$B$8*12),E373,"")</f>
      </c>
    </row>
    <row r="375" ht="22" customHeight="1" spans="1:7" x14ac:dyDescent="0.25">
      <c r="A375" s="40">
        <f>IF((ROW()-3)&lt;=('首頁'!$B$8*12),ROW()-3,"")</f>
      </c>
      <c r="B375" s="41">
        <f>IF((ROW()-3)&lt;=('首頁'!$B$8*12),C375+D375,"")</f>
      </c>
      <c r="C375" s="42">
        <f>IF((ROW()-3)&lt;=('首頁'!$B$8*12),G375*'首頁'!$B$7/12/100,"")</f>
      </c>
      <c r="D375" s="42">
        <f>IF((ROW()-3)&lt;=('首頁'!$B$8*12),IF(ROW()-3=('首頁'!$B$8*12),G375,MIN(G375,'首頁'!$B$13-C375)),"")</f>
      </c>
      <c r="E375" s="42">
        <f>IF((ROW()-3)&lt;=('首頁'!$B$8*12),G375-D375,"")</f>
      </c>
      <c r="G375" s="39">
        <f>IF((ROW()-3)&lt;=('首頁'!$B$8*12),E374,"")</f>
      </c>
    </row>
    <row r="376" ht="22" customHeight="1" spans="1:7" x14ac:dyDescent="0.25">
      <c r="A376" s="36">
        <f>IF((ROW()-3)&lt;=('首頁'!$B$8*12),ROW()-3,"")</f>
      </c>
      <c r="B376" s="37">
        <f>IF((ROW()-3)&lt;=('首頁'!$B$8*12),C376+D376,"")</f>
      </c>
      <c r="C376" s="38">
        <f>IF((ROW()-3)&lt;=('首頁'!$B$8*12),G376*'首頁'!$B$7/12/100,"")</f>
      </c>
      <c r="D376" s="38">
        <f>IF((ROW()-3)&lt;=('首頁'!$B$8*12),IF(ROW()-3=('首頁'!$B$8*12),G376,MIN(G376,'首頁'!$B$13-C376)),"")</f>
      </c>
      <c r="E376" s="38">
        <f>IF((ROW()-3)&lt;=('首頁'!$B$8*12),G376-D376,"")</f>
      </c>
      <c r="G376" s="39">
        <f>IF((ROW()-3)&lt;=('首頁'!$B$8*12),E375,"")</f>
      </c>
    </row>
    <row r="377" ht="22" customHeight="1" spans="1:7" x14ac:dyDescent="0.25">
      <c r="A377" s="40">
        <f>IF((ROW()-3)&lt;=('首頁'!$B$8*12),ROW()-3,"")</f>
      </c>
      <c r="B377" s="41">
        <f>IF((ROW()-3)&lt;=('首頁'!$B$8*12),C377+D377,"")</f>
      </c>
      <c r="C377" s="42">
        <f>IF((ROW()-3)&lt;=('首頁'!$B$8*12),G377*'首頁'!$B$7/12/100,"")</f>
      </c>
      <c r="D377" s="42">
        <f>IF((ROW()-3)&lt;=('首頁'!$B$8*12),IF(ROW()-3=('首頁'!$B$8*12),G377,MIN(G377,'首頁'!$B$13-C377)),"")</f>
      </c>
      <c r="E377" s="42">
        <f>IF((ROW()-3)&lt;=('首頁'!$B$8*12),G377-D377,"")</f>
      </c>
      <c r="G377" s="39">
        <f>IF((ROW()-3)&lt;=('首頁'!$B$8*12),E376,"")</f>
      </c>
    </row>
    <row r="378" ht="22" customHeight="1" spans="1:7" x14ac:dyDescent="0.25">
      <c r="A378" s="36">
        <f>IF((ROW()-3)&lt;=('首頁'!$B$8*12),ROW()-3,"")</f>
      </c>
      <c r="B378" s="37">
        <f>IF((ROW()-3)&lt;=('首頁'!$B$8*12),C378+D378,"")</f>
      </c>
      <c r="C378" s="38">
        <f>IF((ROW()-3)&lt;=('首頁'!$B$8*12),G378*'首頁'!$B$7/12/100,"")</f>
      </c>
      <c r="D378" s="38">
        <f>IF((ROW()-3)&lt;=('首頁'!$B$8*12),IF(ROW()-3=('首頁'!$B$8*12),G378,MIN(G378,'首頁'!$B$13-C378)),"")</f>
      </c>
      <c r="E378" s="38">
        <f>IF((ROW()-3)&lt;=('首頁'!$B$8*12),G378-D378,"")</f>
      </c>
      <c r="G378" s="39">
        <f>IF((ROW()-3)&lt;=('首頁'!$B$8*12),E377,"")</f>
      </c>
    </row>
    <row r="379" ht="22" customHeight="1" spans="1:7" x14ac:dyDescent="0.25">
      <c r="A379" s="40">
        <f>IF((ROW()-3)&lt;=('首頁'!$B$8*12),ROW()-3,"")</f>
      </c>
      <c r="B379" s="41">
        <f>IF((ROW()-3)&lt;=('首頁'!$B$8*12),C379+D379,"")</f>
      </c>
      <c r="C379" s="42">
        <f>IF((ROW()-3)&lt;=('首頁'!$B$8*12),G379*'首頁'!$B$7/12/100,"")</f>
      </c>
      <c r="D379" s="42">
        <f>IF((ROW()-3)&lt;=('首頁'!$B$8*12),IF(ROW()-3=('首頁'!$B$8*12),G379,MIN(G379,'首頁'!$B$13-C379)),"")</f>
      </c>
      <c r="E379" s="42">
        <f>IF((ROW()-3)&lt;=('首頁'!$B$8*12),G379-D379,"")</f>
      </c>
      <c r="G379" s="39">
        <f>IF((ROW()-3)&lt;=('首頁'!$B$8*12),E378,"")</f>
      </c>
    </row>
    <row r="380" ht="22" customHeight="1" spans="1:7" x14ac:dyDescent="0.25">
      <c r="A380" s="36">
        <f>IF((ROW()-3)&lt;=('首頁'!$B$8*12),ROW()-3,"")</f>
      </c>
      <c r="B380" s="37">
        <f>IF((ROW()-3)&lt;=('首頁'!$B$8*12),C380+D380,"")</f>
      </c>
      <c r="C380" s="38">
        <f>IF((ROW()-3)&lt;=('首頁'!$B$8*12),G380*'首頁'!$B$7/12/100,"")</f>
      </c>
      <c r="D380" s="38">
        <f>IF((ROW()-3)&lt;=('首頁'!$B$8*12),IF(ROW()-3=('首頁'!$B$8*12),G380,MIN(G380,'首頁'!$B$13-C380)),"")</f>
      </c>
      <c r="E380" s="38">
        <f>IF((ROW()-3)&lt;=('首頁'!$B$8*12),G380-D380,"")</f>
      </c>
      <c r="G380" s="39">
        <f>IF((ROW()-3)&lt;=('首頁'!$B$8*12),E379,"")</f>
      </c>
    </row>
    <row r="381" ht="22" customHeight="1" spans="1:7" x14ac:dyDescent="0.25">
      <c r="A381" s="40">
        <f>IF((ROW()-3)&lt;=('首頁'!$B$8*12),ROW()-3,"")</f>
      </c>
      <c r="B381" s="41">
        <f>IF((ROW()-3)&lt;=('首頁'!$B$8*12),C381+D381,"")</f>
      </c>
      <c r="C381" s="42">
        <f>IF((ROW()-3)&lt;=('首頁'!$B$8*12),G381*'首頁'!$B$7/12/100,"")</f>
      </c>
      <c r="D381" s="42">
        <f>IF((ROW()-3)&lt;=('首頁'!$B$8*12),IF(ROW()-3=('首頁'!$B$8*12),G381,MIN(G381,'首頁'!$B$13-C381)),"")</f>
      </c>
      <c r="E381" s="42">
        <f>IF((ROW()-3)&lt;=('首頁'!$B$8*12),G381-D381,"")</f>
      </c>
      <c r="G381" s="39">
        <f>IF((ROW()-3)&lt;=('首頁'!$B$8*12),E380,"")</f>
      </c>
    </row>
    <row r="382" ht="22" customHeight="1" spans="1:7" x14ac:dyDescent="0.25">
      <c r="A382" s="36">
        <f>IF((ROW()-3)&lt;=('首頁'!$B$8*12),ROW()-3,"")</f>
      </c>
      <c r="B382" s="37">
        <f>IF((ROW()-3)&lt;=('首頁'!$B$8*12),C382+D382,"")</f>
      </c>
      <c r="C382" s="38">
        <f>IF((ROW()-3)&lt;=('首頁'!$B$8*12),G382*'首頁'!$B$7/12/100,"")</f>
      </c>
      <c r="D382" s="38">
        <f>IF((ROW()-3)&lt;=('首頁'!$B$8*12),IF(ROW()-3=('首頁'!$B$8*12),G382,MIN(G382,'首頁'!$B$13-C382)),"")</f>
      </c>
      <c r="E382" s="38">
        <f>IF((ROW()-3)&lt;=('首頁'!$B$8*12),G382-D382,"")</f>
      </c>
      <c r="G382" s="39">
        <f>IF((ROW()-3)&lt;=('首頁'!$B$8*12),E381,"")</f>
      </c>
    </row>
    <row r="383" ht="22" customHeight="1" spans="1:7" x14ac:dyDescent="0.25">
      <c r="A383" s="40">
        <f>IF((ROW()-3)&lt;=('首頁'!$B$8*12),ROW()-3,"")</f>
      </c>
      <c r="B383" s="41">
        <f>IF((ROW()-3)&lt;=('首頁'!$B$8*12),C383+D383,"")</f>
      </c>
      <c r="C383" s="42">
        <f>IF((ROW()-3)&lt;=('首頁'!$B$8*12),G383*'首頁'!$B$7/12/100,"")</f>
      </c>
      <c r="D383" s="42">
        <f>IF((ROW()-3)&lt;=('首頁'!$B$8*12),IF(ROW()-3=('首頁'!$B$8*12),G383,MIN(G383,'首頁'!$B$13-C383)),"")</f>
      </c>
      <c r="E383" s="42">
        <f>IF((ROW()-3)&lt;=('首頁'!$B$8*12),G383-D383,"")</f>
      </c>
      <c r="G383" s="39">
        <f>IF((ROW()-3)&lt;=('首頁'!$B$8*12),E382,"")</f>
      </c>
    </row>
    <row r="384" ht="22" customHeight="1" spans="1:7" x14ac:dyDescent="0.25">
      <c r="A384" s="36">
        <f>IF((ROW()-3)&lt;=('首頁'!$B$8*12),ROW()-3,"")</f>
      </c>
      <c r="B384" s="37">
        <f>IF((ROW()-3)&lt;=('首頁'!$B$8*12),C384+D384,"")</f>
      </c>
      <c r="C384" s="38">
        <f>IF((ROW()-3)&lt;=('首頁'!$B$8*12),G384*'首頁'!$B$7/12/100,"")</f>
      </c>
      <c r="D384" s="38">
        <f>IF((ROW()-3)&lt;=('首頁'!$B$8*12),IF(ROW()-3=('首頁'!$B$8*12),G384,MIN(G384,'首頁'!$B$13-C384)),"")</f>
      </c>
      <c r="E384" s="38">
        <f>IF((ROW()-3)&lt;=('首頁'!$B$8*12),G384-D384,"")</f>
      </c>
      <c r="G384" s="39">
        <f>IF((ROW()-3)&lt;=('首頁'!$B$8*12),E383,"")</f>
      </c>
    </row>
    <row r="385" ht="22" customHeight="1" spans="1:7" x14ac:dyDescent="0.25">
      <c r="A385" s="40">
        <f>IF((ROW()-3)&lt;=('首頁'!$B$8*12),ROW()-3,"")</f>
      </c>
      <c r="B385" s="41">
        <f>IF((ROW()-3)&lt;=('首頁'!$B$8*12),C385+D385,"")</f>
      </c>
      <c r="C385" s="42">
        <f>IF((ROW()-3)&lt;=('首頁'!$B$8*12),G385*'首頁'!$B$7/12/100,"")</f>
      </c>
      <c r="D385" s="42">
        <f>IF((ROW()-3)&lt;=('首頁'!$B$8*12),IF(ROW()-3=('首頁'!$B$8*12),G385,MIN(G385,'首頁'!$B$13-C385)),"")</f>
      </c>
      <c r="E385" s="42">
        <f>IF((ROW()-3)&lt;=('首頁'!$B$8*12),G385-D385,"")</f>
      </c>
      <c r="G385" s="39">
        <f>IF((ROW()-3)&lt;=('首頁'!$B$8*12),E384,"")</f>
      </c>
    </row>
    <row r="386" ht="22" customHeight="1" spans="1:7" x14ac:dyDescent="0.25">
      <c r="A386" s="36">
        <f>IF((ROW()-3)&lt;=('首頁'!$B$8*12),ROW()-3,"")</f>
      </c>
      <c r="B386" s="37">
        <f>IF((ROW()-3)&lt;=('首頁'!$B$8*12),C386+D386,"")</f>
      </c>
      <c r="C386" s="38">
        <f>IF((ROW()-3)&lt;=('首頁'!$B$8*12),G386*'首頁'!$B$7/12/100,"")</f>
      </c>
      <c r="D386" s="38">
        <f>IF((ROW()-3)&lt;=('首頁'!$B$8*12),IF(ROW()-3=('首頁'!$B$8*12),G386,MIN(G386,'首頁'!$B$13-C386)),"")</f>
      </c>
      <c r="E386" s="38">
        <f>IF((ROW()-3)&lt;=('首頁'!$B$8*12),G386-D386,"")</f>
      </c>
      <c r="G386" s="39">
        <f>IF((ROW()-3)&lt;=('首頁'!$B$8*12),E385,"")</f>
      </c>
    </row>
    <row r="387" ht="22" customHeight="1" spans="1:7" x14ac:dyDescent="0.25">
      <c r="A387" s="40">
        <f>IF((ROW()-3)&lt;=('首頁'!$B$8*12),ROW()-3,"")</f>
      </c>
      <c r="B387" s="41">
        <f>IF((ROW()-3)&lt;=('首頁'!$B$8*12),C387+D387,"")</f>
      </c>
      <c r="C387" s="42">
        <f>IF((ROW()-3)&lt;=('首頁'!$B$8*12),G387*'首頁'!$B$7/12/100,"")</f>
      </c>
      <c r="D387" s="42">
        <f>IF((ROW()-3)&lt;=('首頁'!$B$8*12),IF(ROW()-3=('首頁'!$B$8*12),G387,MIN(G387,'首頁'!$B$13-C387)),"")</f>
      </c>
      <c r="E387" s="42">
        <f>IF((ROW()-3)&lt;=('首頁'!$B$8*12),G387-D387,"")</f>
      </c>
      <c r="G387" s="39">
        <f>IF((ROW()-3)&lt;=('首頁'!$B$8*12),E386,"")</f>
      </c>
    </row>
    <row r="388" ht="22" customHeight="1" spans="1:7" x14ac:dyDescent="0.25">
      <c r="A388" s="36">
        <f>IF((ROW()-3)&lt;=('首頁'!$B$8*12),ROW()-3,"")</f>
      </c>
      <c r="B388" s="37">
        <f>IF((ROW()-3)&lt;=('首頁'!$B$8*12),C388+D388,"")</f>
      </c>
      <c r="C388" s="38">
        <f>IF((ROW()-3)&lt;=('首頁'!$B$8*12),G388*'首頁'!$B$7/12/100,"")</f>
      </c>
      <c r="D388" s="38">
        <f>IF((ROW()-3)&lt;=('首頁'!$B$8*12),IF(ROW()-3=('首頁'!$B$8*12),G388,MIN(G388,'首頁'!$B$13-C388)),"")</f>
      </c>
      <c r="E388" s="38">
        <f>IF((ROW()-3)&lt;=('首頁'!$B$8*12),G388-D388,"")</f>
      </c>
      <c r="G388" s="39">
        <f>IF((ROW()-3)&lt;=('首頁'!$B$8*12),E387,"")</f>
      </c>
    </row>
    <row r="389" ht="22" customHeight="1" spans="1:7" x14ac:dyDescent="0.25">
      <c r="A389" s="40">
        <f>IF((ROW()-3)&lt;=('首頁'!$B$8*12),ROW()-3,"")</f>
      </c>
      <c r="B389" s="41">
        <f>IF((ROW()-3)&lt;=('首頁'!$B$8*12),C389+D389,"")</f>
      </c>
      <c r="C389" s="42">
        <f>IF((ROW()-3)&lt;=('首頁'!$B$8*12),G389*'首頁'!$B$7/12/100,"")</f>
      </c>
      <c r="D389" s="42">
        <f>IF((ROW()-3)&lt;=('首頁'!$B$8*12),IF(ROW()-3=('首頁'!$B$8*12),G389,MIN(G389,'首頁'!$B$13-C389)),"")</f>
      </c>
      <c r="E389" s="42">
        <f>IF((ROW()-3)&lt;=('首頁'!$B$8*12),G389-D389,"")</f>
      </c>
      <c r="G389" s="39">
        <f>IF((ROW()-3)&lt;=('首頁'!$B$8*12),E388,"")</f>
      </c>
    </row>
    <row r="390" ht="22" customHeight="1" spans="1:7" x14ac:dyDescent="0.25">
      <c r="A390" s="36">
        <f>IF((ROW()-3)&lt;=('首頁'!$B$8*12),ROW()-3,"")</f>
      </c>
      <c r="B390" s="37">
        <f>IF((ROW()-3)&lt;=('首頁'!$B$8*12),C390+D390,"")</f>
      </c>
      <c r="C390" s="38">
        <f>IF((ROW()-3)&lt;=('首頁'!$B$8*12),G390*'首頁'!$B$7/12/100,"")</f>
      </c>
      <c r="D390" s="38">
        <f>IF((ROW()-3)&lt;=('首頁'!$B$8*12),IF(ROW()-3=('首頁'!$B$8*12),G390,MIN(G390,'首頁'!$B$13-C390)),"")</f>
      </c>
      <c r="E390" s="38">
        <f>IF((ROW()-3)&lt;=('首頁'!$B$8*12),G390-D390,"")</f>
      </c>
      <c r="G390" s="39">
        <f>IF((ROW()-3)&lt;=('首頁'!$B$8*12),E389,"")</f>
      </c>
    </row>
    <row r="391" ht="22" customHeight="1" spans="1:7" x14ac:dyDescent="0.25">
      <c r="A391" s="40">
        <f>IF((ROW()-3)&lt;=('首頁'!$B$8*12),ROW()-3,"")</f>
      </c>
      <c r="B391" s="41">
        <f>IF((ROW()-3)&lt;=('首頁'!$B$8*12),C391+D391,"")</f>
      </c>
      <c r="C391" s="42">
        <f>IF((ROW()-3)&lt;=('首頁'!$B$8*12),G391*'首頁'!$B$7/12/100,"")</f>
      </c>
      <c r="D391" s="42">
        <f>IF((ROW()-3)&lt;=('首頁'!$B$8*12),IF(ROW()-3=('首頁'!$B$8*12),G391,MIN(G391,'首頁'!$B$13-C391)),"")</f>
      </c>
      <c r="E391" s="42">
        <f>IF((ROW()-3)&lt;=('首頁'!$B$8*12),G391-D391,"")</f>
      </c>
      <c r="G391" s="39">
        <f>IF((ROW()-3)&lt;=('首頁'!$B$8*12),E390,"")</f>
      </c>
    </row>
    <row r="392" ht="22" customHeight="1" spans="1:7" x14ac:dyDescent="0.25">
      <c r="A392" s="36">
        <f>IF((ROW()-3)&lt;=('首頁'!$B$8*12),ROW()-3,"")</f>
      </c>
      <c r="B392" s="37">
        <f>IF((ROW()-3)&lt;=('首頁'!$B$8*12),C392+D392,"")</f>
      </c>
      <c r="C392" s="38">
        <f>IF((ROW()-3)&lt;=('首頁'!$B$8*12),G392*'首頁'!$B$7/12/100,"")</f>
      </c>
      <c r="D392" s="38">
        <f>IF((ROW()-3)&lt;=('首頁'!$B$8*12),IF(ROW()-3=('首頁'!$B$8*12),G392,MIN(G392,'首頁'!$B$13-C392)),"")</f>
      </c>
      <c r="E392" s="38">
        <f>IF((ROW()-3)&lt;=('首頁'!$B$8*12),G392-D392,"")</f>
      </c>
      <c r="G392" s="39">
        <f>IF((ROW()-3)&lt;=('首頁'!$B$8*12),E391,"")</f>
      </c>
    </row>
    <row r="393" ht="22" customHeight="1" spans="1:7" x14ac:dyDescent="0.25">
      <c r="A393" s="40">
        <f>IF((ROW()-3)&lt;=('首頁'!$B$8*12),ROW()-3,"")</f>
      </c>
      <c r="B393" s="41">
        <f>IF((ROW()-3)&lt;=('首頁'!$B$8*12),C393+D393,"")</f>
      </c>
      <c r="C393" s="42">
        <f>IF((ROW()-3)&lt;=('首頁'!$B$8*12),G393*'首頁'!$B$7/12/100,"")</f>
      </c>
      <c r="D393" s="42">
        <f>IF((ROW()-3)&lt;=('首頁'!$B$8*12),IF(ROW()-3=('首頁'!$B$8*12),G393,MIN(G393,'首頁'!$B$13-C393)),"")</f>
      </c>
      <c r="E393" s="42">
        <f>IF((ROW()-3)&lt;=('首頁'!$B$8*12),G393-D393,"")</f>
      </c>
      <c r="G393" s="39">
        <f>IF((ROW()-3)&lt;=('首頁'!$B$8*12),E392,"")</f>
      </c>
    </row>
    <row r="394" ht="22" customHeight="1" spans="1:7" x14ac:dyDescent="0.25">
      <c r="A394" s="36">
        <f>IF((ROW()-3)&lt;=('首頁'!$B$8*12),ROW()-3,"")</f>
      </c>
      <c r="B394" s="37">
        <f>IF((ROW()-3)&lt;=('首頁'!$B$8*12),C394+D394,"")</f>
      </c>
      <c r="C394" s="38">
        <f>IF((ROW()-3)&lt;=('首頁'!$B$8*12),G394*'首頁'!$B$7/12/100,"")</f>
      </c>
      <c r="D394" s="38">
        <f>IF((ROW()-3)&lt;=('首頁'!$B$8*12),IF(ROW()-3=('首頁'!$B$8*12),G394,MIN(G394,'首頁'!$B$13-C394)),"")</f>
      </c>
      <c r="E394" s="38">
        <f>IF((ROW()-3)&lt;=('首頁'!$B$8*12),G394-D394,"")</f>
      </c>
      <c r="G394" s="39">
        <f>IF((ROW()-3)&lt;=('首頁'!$B$8*12),E393,"")</f>
      </c>
    </row>
    <row r="395" ht="22" customHeight="1" spans="1:7" x14ac:dyDescent="0.25">
      <c r="A395" s="40">
        <f>IF((ROW()-3)&lt;=('首頁'!$B$8*12),ROW()-3,"")</f>
      </c>
      <c r="B395" s="41">
        <f>IF((ROW()-3)&lt;=('首頁'!$B$8*12),C395+D395,"")</f>
      </c>
      <c r="C395" s="42">
        <f>IF((ROW()-3)&lt;=('首頁'!$B$8*12),G395*'首頁'!$B$7/12/100,"")</f>
      </c>
      <c r="D395" s="42">
        <f>IF((ROW()-3)&lt;=('首頁'!$B$8*12),IF(ROW()-3=('首頁'!$B$8*12),G395,MIN(G395,'首頁'!$B$13-C395)),"")</f>
      </c>
      <c r="E395" s="42">
        <f>IF((ROW()-3)&lt;=('首頁'!$B$8*12),G395-D395,"")</f>
      </c>
      <c r="G395" s="39">
        <f>IF((ROW()-3)&lt;=('首頁'!$B$8*12),E394,"")</f>
      </c>
    </row>
    <row r="396" ht="22" customHeight="1" spans="1:7" x14ac:dyDescent="0.25">
      <c r="A396" s="36">
        <f>IF((ROW()-3)&lt;=('首頁'!$B$8*12),ROW()-3,"")</f>
      </c>
      <c r="B396" s="37">
        <f>IF((ROW()-3)&lt;=('首頁'!$B$8*12),C396+D396,"")</f>
      </c>
      <c r="C396" s="38">
        <f>IF((ROW()-3)&lt;=('首頁'!$B$8*12),G396*'首頁'!$B$7/12/100,"")</f>
      </c>
      <c r="D396" s="38">
        <f>IF((ROW()-3)&lt;=('首頁'!$B$8*12),IF(ROW()-3=('首頁'!$B$8*12),G396,MIN(G396,'首頁'!$B$13-C396)),"")</f>
      </c>
      <c r="E396" s="38">
        <f>IF((ROW()-3)&lt;=('首頁'!$B$8*12),G396-D396,"")</f>
      </c>
      <c r="G396" s="39">
        <f>IF((ROW()-3)&lt;=('首頁'!$B$8*12),E395,"")</f>
      </c>
    </row>
    <row r="397" ht="22" customHeight="1" spans="1:7" x14ac:dyDescent="0.25">
      <c r="A397" s="40">
        <f>IF((ROW()-3)&lt;=('首頁'!$B$8*12),ROW()-3,"")</f>
      </c>
      <c r="B397" s="41">
        <f>IF((ROW()-3)&lt;=('首頁'!$B$8*12),C397+D397,"")</f>
      </c>
      <c r="C397" s="42">
        <f>IF((ROW()-3)&lt;=('首頁'!$B$8*12),G397*'首頁'!$B$7/12/100,"")</f>
      </c>
      <c r="D397" s="42">
        <f>IF((ROW()-3)&lt;=('首頁'!$B$8*12),IF(ROW()-3=('首頁'!$B$8*12),G397,MIN(G397,'首頁'!$B$13-C397)),"")</f>
      </c>
      <c r="E397" s="42">
        <f>IF((ROW()-3)&lt;=('首頁'!$B$8*12),G397-D397,"")</f>
      </c>
      <c r="G397" s="39">
        <f>IF((ROW()-3)&lt;=('首頁'!$B$8*12),E396,"")</f>
      </c>
    </row>
    <row r="398" ht="22" customHeight="1" spans="1:7" x14ac:dyDescent="0.25">
      <c r="A398" s="36">
        <f>IF((ROW()-3)&lt;=('首頁'!$B$8*12),ROW()-3,"")</f>
      </c>
      <c r="B398" s="37">
        <f>IF((ROW()-3)&lt;=('首頁'!$B$8*12),C398+D398,"")</f>
      </c>
      <c r="C398" s="38">
        <f>IF((ROW()-3)&lt;=('首頁'!$B$8*12),G398*'首頁'!$B$7/12/100,"")</f>
      </c>
      <c r="D398" s="38">
        <f>IF((ROW()-3)&lt;=('首頁'!$B$8*12),IF(ROW()-3=('首頁'!$B$8*12),G398,MIN(G398,'首頁'!$B$13-C398)),"")</f>
      </c>
      <c r="E398" s="38">
        <f>IF((ROW()-3)&lt;=('首頁'!$B$8*12),G398-D398,"")</f>
      </c>
      <c r="G398" s="39">
        <f>IF((ROW()-3)&lt;=('首頁'!$B$8*12),E397,"")</f>
      </c>
    </row>
    <row r="399" ht="22" customHeight="1" spans="1:7" x14ac:dyDescent="0.25">
      <c r="A399" s="40">
        <f>IF((ROW()-3)&lt;=('首頁'!$B$8*12),ROW()-3,"")</f>
      </c>
      <c r="B399" s="41">
        <f>IF((ROW()-3)&lt;=('首頁'!$B$8*12),C399+D399,"")</f>
      </c>
      <c r="C399" s="42">
        <f>IF((ROW()-3)&lt;=('首頁'!$B$8*12),G399*'首頁'!$B$7/12/100,"")</f>
      </c>
      <c r="D399" s="42">
        <f>IF((ROW()-3)&lt;=('首頁'!$B$8*12),IF(ROW()-3=('首頁'!$B$8*12),G399,MIN(G399,'首頁'!$B$13-C399)),"")</f>
      </c>
      <c r="E399" s="42">
        <f>IF((ROW()-3)&lt;=('首頁'!$B$8*12),G399-D399,"")</f>
      </c>
      <c r="G399" s="39">
        <f>IF((ROW()-3)&lt;=('首頁'!$B$8*12),E398,"")</f>
      </c>
    </row>
    <row r="400" ht="22" customHeight="1" spans="1:7" x14ac:dyDescent="0.25">
      <c r="A400" s="36">
        <f>IF((ROW()-3)&lt;=('首頁'!$B$8*12),ROW()-3,"")</f>
      </c>
      <c r="B400" s="37">
        <f>IF((ROW()-3)&lt;=('首頁'!$B$8*12),C400+D400,"")</f>
      </c>
      <c r="C400" s="38">
        <f>IF((ROW()-3)&lt;=('首頁'!$B$8*12),G400*'首頁'!$B$7/12/100,"")</f>
      </c>
      <c r="D400" s="38">
        <f>IF((ROW()-3)&lt;=('首頁'!$B$8*12),IF(ROW()-3=('首頁'!$B$8*12),G400,MIN(G400,'首頁'!$B$13-C400)),"")</f>
      </c>
      <c r="E400" s="38">
        <f>IF((ROW()-3)&lt;=('首頁'!$B$8*12),G400-D400,"")</f>
      </c>
      <c r="G400" s="39">
        <f>IF((ROW()-3)&lt;=('首頁'!$B$8*12),E399,"")</f>
      </c>
    </row>
    <row r="401" ht="22" customHeight="1" spans="1:7" x14ac:dyDescent="0.25">
      <c r="A401" s="40">
        <f>IF((ROW()-3)&lt;=('首頁'!$B$8*12),ROW()-3,"")</f>
      </c>
      <c r="B401" s="41">
        <f>IF((ROW()-3)&lt;=('首頁'!$B$8*12),C401+D401,"")</f>
      </c>
      <c r="C401" s="42">
        <f>IF((ROW()-3)&lt;=('首頁'!$B$8*12),G401*'首頁'!$B$7/12/100,"")</f>
      </c>
      <c r="D401" s="42">
        <f>IF((ROW()-3)&lt;=('首頁'!$B$8*12),IF(ROW()-3=('首頁'!$B$8*12),G401,MIN(G401,'首頁'!$B$13-C401)),"")</f>
      </c>
      <c r="E401" s="42">
        <f>IF((ROW()-3)&lt;=('首頁'!$B$8*12),G401-D401,"")</f>
      </c>
      <c r="G401" s="39">
        <f>IF((ROW()-3)&lt;=('首頁'!$B$8*12),E400,"")</f>
      </c>
    </row>
    <row r="402" ht="22" customHeight="1" spans="1:7" x14ac:dyDescent="0.25">
      <c r="A402" s="36">
        <f>IF((ROW()-3)&lt;=('首頁'!$B$8*12),ROW()-3,"")</f>
      </c>
      <c r="B402" s="37">
        <f>IF((ROW()-3)&lt;=('首頁'!$B$8*12),C402+D402,"")</f>
      </c>
      <c r="C402" s="38">
        <f>IF((ROW()-3)&lt;=('首頁'!$B$8*12),G402*'首頁'!$B$7/12/100,"")</f>
      </c>
      <c r="D402" s="38">
        <f>IF((ROW()-3)&lt;=('首頁'!$B$8*12),IF(ROW()-3=('首頁'!$B$8*12),G402,MIN(G402,'首頁'!$B$13-C402)),"")</f>
      </c>
      <c r="E402" s="38">
        <f>IF((ROW()-3)&lt;=('首頁'!$B$8*12),G402-D402,"")</f>
      </c>
      <c r="G402" s="39">
        <f>IF((ROW()-3)&lt;=('首頁'!$B$8*12),E401,"")</f>
      </c>
    </row>
    <row r="403" ht="22" customHeight="1" spans="1:7" x14ac:dyDescent="0.25">
      <c r="A403" s="40">
        <f>IF((ROW()-3)&lt;=('首頁'!$B$8*12),ROW()-3,"")</f>
      </c>
      <c r="B403" s="41">
        <f>IF((ROW()-3)&lt;=('首頁'!$B$8*12),C403+D403,"")</f>
      </c>
      <c r="C403" s="42">
        <f>IF((ROW()-3)&lt;=('首頁'!$B$8*12),G403*'首頁'!$B$7/12/100,"")</f>
      </c>
      <c r="D403" s="42">
        <f>IF((ROW()-3)&lt;=('首頁'!$B$8*12),IF(ROW()-3=('首頁'!$B$8*12),G403,MIN(G403,'首頁'!$B$13-C403)),"")</f>
      </c>
      <c r="E403" s="42">
        <f>IF((ROW()-3)&lt;=('首頁'!$B$8*12),G403-D403,"")</f>
      </c>
      <c r="G403" s="39">
        <f>IF((ROW()-3)&lt;=('首頁'!$B$8*12),E402,"")</f>
      </c>
    </row>
    <row r="404" ht="22" customHeight="1" spans="1:7" x14ac:dyDescent="0.25">
      <c r="A404" s="36">
        <f>IF((ROW()-3)&lt;=('首頁'!$B$8*12),ROW()-3,"")</f>
      </c>
      <c r="B404" s="37">
        <f>IF((ROW()-3)&lt;=('首頁'!$B$8*12),C404+D404,"")</f>
      </c>
      <c r="C404" s="38">
        <f>IF((ROW()-3)&lt;=('首頁'!$B$8*12),G404*'首頁'!$B$7/12/100,"")</f>
      </c>
      <c r="D404" s="38">
        <f>IF((ROW()-3)&lt;=('首頁'!$B$8*12),IF(ROW()-3=('首頁'!$B$8*12),G404,MIN(G404,'首頁'!$B$13-C404)),"")</f>
      </c>
      <c r="E404" s="38">
        <f>IF((ROW()-3)&lt;=('首頁'!$B$8*12),G404-D404,"")</f>
      </c>
      <c r="G404" s="39">
        <f>IF((ROW()-3)&lt;=('首頁'!$B$8*12),E403,"")</f>
      </c>
    </row>
    <row r="405" ht="22" customHeight="1" spans="1:7" x14ac:dyDescent="0.25">
      <c r="A405" s="40">
        <f>IF((ROW()-3)&lt;=('首頁'!$B$8*12),ROW()-3,"")</f>
      </c>
      <c r="B405" s="41">
        <f>IF((ROW()-3)&lt;=('首頁'!$B$8*12),C405+D405,"")</f>
      </c>
      <c r="C405" s="42">
        <f>IF((ROW()-3)&lt;=('首頁'!$B$8*12),G405*'首頁'!$B$7/12/100,"")</f>
      </c>
      <c r="D405" s="42">
        <f>IF((ROW()-3)&lt;=('首頁'!$B$8*12),IF(ROW()-3=('首頁'!$B$8*12),G405,MIN(G405,'首頁'!$B$13-C405)),"")</f>
      </c>
      <c r="E405" s="42">
        <f>IF((ROW()-3)&lt;=('首頁'!$B$8*12),G405-D405,"")</f>
      </c>
      <c r="G405" s="39">
        <f>IF((ROW()-3)&lt;=('首頁'!$B$8*12),E404,"")</f>
      </c>
    </row>
    <row r="406" ht="22" customHeight="1" spans="1:7" x14ac:dyDescent="0.25">
      <c r="A406" s="36">
        <f>IF((ROW()-3)&lt;=('首頁'!$B$8*12),ROW()-3,"")</f>
      </c>
      <c r="B406" s="37">
        <f>IF((ROW()-3)&lt;=('首頁'!$B$8*12),C406+D406,"")</f>
      </c>
      <c r="C406" s="38">
        <f>IF((ROW()-3)&lt;=('首頁'!$B$8*12),G406*'首頁'!$B$7/12/100,"")</f>
      </c>
      <c r="D406" s="38">
        <f>IF((ROW()-3)&lt;=('首頁'!$B$8*12),IF(ROW()-3=('首頁'!$B$8*12),G406,MIN(G406,'首頁'!$B$13-C406)),"")</f>
      </c>
      <c r="E406" s="38">
        <f>IF((ROW()-3)&lt;=('首頁'!$B$8*12),G406-D406,"")</f>
      </c>
      <c r="G406" s="39">
        <f>IF((ROW()-3)&lt;=('首頁'!$B$8*12),E405,"")</f>
      </c>
    </row>
    <row r="407" ht="22" customHeight="1" spans="1:7" x14ac:dyDescent="0.25">
      <c r="A407" s="40">
        <f>IF((ROW()-3)&lt;=('首頁'!$B$8*12),ROW()-3,"")</f>
      </c>
      <c r="B407" s="41">
        <f>IF((ROW()-3)&lt;=('首頁'!$B$8*12),C407+D407,"")</f>
      </c>
      <c r="C407" s="42">
        <f>IF((ROW()-3)&lt;=('首頁'!$B$8*12),G407*'首頁'!$B$7/12/100,"")</f>
      </c>
      <c r="D407" s="42">
        <f>IF((ROW()-3)&lt;=('首頁'!$B$8*12),IF(ROW()-3=('首頁'!$B$8*12),G407,MIN(G407,'首頁'!$B$13-C407)),"")</f>
      </c>
      <c r="E407" s="42">
        <f>IF((ROW()-3)&lt;=('首頁'!$B$8*12),G407-D407,"")</f>
      </c>
      <c r="G407" s="39">
        <f>IF((ROW()-3)&lt;=('首頁'!$B$8*12),E406,"")</f>
      </c>
    </row>
    <row r="408" ht="22" customHeight="1" spans="1:7" x14ac:dyDescent="0.25">
      <c r="A408" s="36">
        <f>IF((ROW()-3)&lt;=('首頁'!$B$8*12),ROW()-3,"")</f>
      </c>
      <c r="B408" s="37">
        <f>IF((ROW()-3)&lt;=('首頁'!$B$8*12),C408+D408,"")</f>
      </c>
      <c r="C408" s="38">
        <f>IF((ROW()-3)&lt;=('首頁'!$B$8*12),G408*'首頁'!$B$7/12/100,"")</f>
      </c>
      <c r="D408" s="38">
        <f>IF((ROW()-3)&lt;=('首頁'!$B$8*12),IF(ROW()-3=('首頁'!$B$8*12),G408,MIN(G408,'首頁'!$B$13-C408)),"")</f>
      </c>
      <c r="E408" s="38">
        <f>IF((ROW()-3)&lt;=('首頁'!$B$8*12),G408-D408,"")</f>
      </c>
      <c r="G408" s="39">
        <f>IF((ROW()-3)&lt;=('首頁'!$B$8*12),E407,"")</f>
      </c>
    </row>
    <row r="409" ht="22" customHeight="1" spans="1:7" x14ac:dyDescent="0.25">
      <c r="A409" s="40">
        <f>IF((ROW()-3)&lt;=('首頁'!$B$8*12),ROW()-3,"")</f>
      </c>
      <c r="B409" s="41">
        <f>IF((ROW()-3)&lt;=('首頁'!$B$8*12),C409+D409,"")</f>
      </c>
      <c r="C409" s="42">
        <f>IF((ROW()-3)&lt;=('首頁'!$B$8*12),G409*'首頁'!$B$7/12/100,"")</f>
      </c>
      <c r="D409" s="42">
        <f>IF((ROW()-3)&lt;=('首頁'!$B$8*12),IF(ROW()-3=('首頁'!$B$8*12),G409,MIN(G409,'首頁'!$B$13-C409)),"")</f>
      </c>
      <c r="E409" s="42">
        <f>IF((ROW()-3)&lt;=('首頁'!$B$8*12),G409-D409,"")</f>
      </c>
      <c r="G409" s="39">
        <f>IF((ROW()-3)&lt;=('首頁'!$B$8*12),E408,"")</f>
      </c>
    </row>
    <row r="410" ht="22" customHeight="1" spans="1:7" x14ac:dyDescent="0.25">
      <c r="A410" s="36">
        <f>IF((ROW()-3)&lt;=('首頁'!$B$8*12),ROW()-3,"")</f>
      </c>
      <c r="B410" s="37">
        <f>IF((ROW()-3)&lt;=('首頁'!$B$8*12),C410+D410,"")</f>
      </c>
      <c r="C410" s="38">
        <f>IF((ROW()-3)&lt;=('首頁'!$B$8*12),G410*'首頁'!$B$7/12/100,"")</f>
      </c>
      <c r="D410" s="38">
        <f>IF((ROW()-3)&lt;=('首頁'!$B$8*12),IF(ROW()-3=('首頁'!$B$8*12),G410,MIN(G410,'首頁'!$B$13-C410)),"")</f>
      </c>
      <c r="E410" s="38">
        <f>IF((ROW()-3)&lt;=('首頁'!$B$8*12),G410-D410,"")</f>
      </c>
      <c r="G410" s="39">
        <f>IF((ROW()-3)&lt;=('首頁'!$B$8*12),E409,"")</f>
      </c>
    </row>
    <row r="411" ht="22" customHeight="1" spans="1:7" x14ac:dyDescent="0.25">
      <c r="A411" s="40">
        <f>IF((ROW()-3)&lt;=('首頁'!$B$8*12),ROW()-3,"")</f>
      </c>
      <c r="B411" s="41">
        <f>IF((ROW()-3)&lt;=('首頁'!$B$8*12),C411+D411,"")</f>
      </c>
      <c r="C411" s="42">
        <f>IF((ROW()-3)&lt;=('首頁'!$B$8*12),G411*'首頁'!$B$7/12/100,"")</f>
      </c>
      <c r="D411" s="42">
        <f>IF((ROW()-3)&lt;=('首頁'!$B$8*12),IF(ROW()-3=('首頁'!$B$8*12),G411,MIN(G411,'首頁'!$B$13-C411)),"")</f>
      </c>
      <c r="E411" s="42">
        <f>IF((ROW()-3)&lt;=('首頁'!$B$8*12),G411-D411,"")</f>
      </c>
      <c r="G411" s="39">
        <f>IF((ROW()-3)&lt;=('首頁'!$B$8*12),E410,"")</f>
      </c>
    </row>
    <row r="412" ht="22" customHeight="1" spans="1:7" x14ac:dyDescent="0.25">
      <c r="A412" s="36">
        <f>IF((ROW()-3)&lt;=('首頁'!$B$8*12),ROW()-3,"")</f>
      </c>
      <c r="B412" s="37">
        <f>IF((ROW()-3)&lt;=('首頁'!$B$8*12),C412+D412,"")</f>
      </c>
      <c r="C412" s="38">
        <f>IF((ROW()-3)&lt;=('首頁'!$B$8*12),G412*'首頁'!$B$7/12/100,"")</f>
      </c>
      <c r="D412" s="38">
        <f>IF((ROW()-3)&lt;=('首頁'!$B$8*12),IF(ROW()-3=('首頁'!$B$8*12),G412,MIN(G412,'首頁'!$B$13-C412)),"")</f>
      </c>
      <c r="E412" s="38">
        <f>IF((ROW()-3)&lt;=('首頁'!$B$8*12),G412-D412,"")</f>
      </c>
      <c r="G412" s="39">
        <f>IF((ROW()-3)&lt;=('首頁'!$B$8*12),E411,"")</f>
      </c>
    </row>
    <row r="413" ht="22" customHeight="1" spans="1:7" x14ac:dyDescent="0.25">
      <c r="A413" s="40">
        <f>IF((ROW()-3)&lt;=('首頁'!$B$8*12),ROW()-3,"")</f>
      </c>
      <c r="B413" s="41">
        <f>IF((ROW()-3)&lt;=('首頁'!$B$8*12),C413+D413,"")</f>
      </c>
      <c r="C413" s="42">
        <f>IF((ROW()-3)&lt;=('首頁'!$B$8*12),G413*'首頁'!$B$7/12/100,"")</f>
      </c>
      <c r="D413" s="42">
        <f>IF((ROW()-3)&lt;=('首頁'!$B$8*12),IF(ROW()-3=('首頁'!$B$8*12),G413,MIN(G413,'首頁'!$B$13-C413)),"")</f>
      </c>
      <c r="E413" s="42">
        <f>IF((ROW()-3)&lt;=('首頁'!$B$8*12),G413-D413,"")</f>
      </c>
      <c r="G413" s="39">
        <f>IF((ROW()-3)&lt;=('首頁'!$B$8*12),E412,"")</f>
      </c>
    </row>
    <row r="414" ht="22" customHeight="1" spans="1:7" x14ac:dyDescent="0.25">
      <c r="A414" s="36">
        <f>IF((ROW()-3)&lt;=('首頁'!$B$8*12),ROW()-3,"")</f>
      </c>
      <c r="B414" s="37">
        <f>IF((ROW()-3)&lt;=('首頁'!$B$8*12),C414+D414,"")</f>
      </c>
      <c r="C414" s="38">
        <f>IF((ROW()-3)&lt;=('首頁'!$B$8*12),G414*'首頁'!$B$7/12/100,"")</f>
      </c>
      <c r="D414" s="38">
        <f>IF((ROW()-3)&lt;=('首頁'!$B$8*12),IF(ROW()-3=('首頁'!$B$8*12),G414,MIN(G414,'首頁'!$B$13-C414)),"")</f>
      </c>
      <c r="E414" s="38">
        <f>IF((ROW()-3)&lt;=('首頁'!$B$8*12),G414-D414,"")</f>
      </c>
      <c r="G414" s="39">
        <f>IF((ROW()-3)&lt;=('首頁'!$B$8*12),E413,"")</f>
      </c>
    </row>
    <row r="415" ht="22" customHeight="1" spans="1:7" x14ac:dyDescent="0.25">
      <c r="A415" s="40">
        <f>IF((ROW()-3)&lt;=('首頁'!$B$8*12),ROW()-3,"")</f>
      </c>
      <c r="B415" s="41">
        <f>IF((ROW()-3)&lt;=('首頁'!$B$8*12),C415+D415,"")</f>
      </c>
      <c r="C415" s="42">
        <f>IF((ROW()-3)&lt;=('首頁'!$B$8*12),G415*'首頁'!$B$7/12/100,"")</f>
      </c>
      <c r="D415" s="42">
        <f>IF((ROW()-3)&lt;=('首頁'!$B$8*12),IF(ROW()-3=('首頁'!$B$8*12),G415,MIN(G415,'首頁'!$B$13-C415)),"")</f>
      </c>
      <c r="E415" s="42">
        <f>IF((ROW()-3)&lt;=('首頁'!$B$8*12),G415-D415,"")</f>
      </c>
      <c r="G415" s="39">
        <f>IF((ROW()-3)&lt;=('首頁'!$B$8*12),E414,"")</f>
      </c>
    </row>
    <row r="416" ht="22" customHeight="1" spans="1:7" x14ac:dyDescent="0.25">
      <c r="A416" s="36">
        <f>IF((ROW()-3)&lt;=('首頁'!$B$8*12),ROW()-3,"")</f>
      </c>
      <c r="B416" s="37">
        <f>IF((ROW()-3)&lt;=('首頁'!$B$8*12),C416+D416,"")</f>
      </c>
      <c r="C416" s="38">
        <f>IF((ROW()-3)&lt;=('首頁'!$B$8*12),G416*'首頁'!$B$7/12/100,"")</f>
      </c>
      <c r="D416" s="38">
        <f>IF((ROW()-3)&lt;=('首頁'!$B$8*12),IF(ROW()-3=('首頁'!$B$8*12),G416,MIN(G416,'首頁'!$B$13-C416)),"")</f>
      </c>
      <c r="E416" s="38">
        <f>IF((ROW()-3)&lt;=('首頁'!$B$8*12),G416-D416,"")</f>
      </c>
      <c r="G416" s="39">
        <f>IF((ROW()-3)&lt;=('首頁'!$B$8*12),E415,"")</f>
      </c>
    </row>
    <row r="417" ht="22" customHeight="1" spans="1:7" x14ac:dyDescent="0.25">
      <c r="A417" s="40">
        <f>IF((ROW()-3)&lt;=('首頁'!$B$8*12),ROW()-3,"")</f>
      </c>
      <c r="B417" s="41">
        <f>IF((ROW()-3)&lt;=('首頁'!$B$8*12),C417+D417,"")</f>
      </c>
      <c r="C417" s="42">
        <f>IF((ROW()-3)&lt;=('首頁'!$B$8*12),G417*'首頁'!$B$7/12/100,"")</f>
      </c>
      <c r="D417" s="42">
        <f>IF((ROW()-3)&lt;=('首頁'!$B$8*12),IF(ROW()-3=('首頁'!$B$8*12),G417,MIN(G417,'首頁'!$B$13-C417)),"")</f>
      </c>
      <c r="E417" s="42">
        <f>IF((ROW()-3)&lt;=('首頁'!$B$8*12),G417-D417,"")</f>
      </c>
      <c r="G417" s="39">
        <f>IF((ROW()-3)&lt;=('首頁'!$B$8*12),E416,"")</f>
      </c>
    </row>
    <row r="418" ht="22" customHeight="1" spans="1:7" x14ac:dyDescent="0.25">
      <c r="A418" s="36">
        <f>IF((ROW()-3)&lt;=('首頁'!$B$8*12),ROW()-3,"")</f>
      </c>
      <c r="B418" s="37">
        <f>IF((ROW()-3)&lt;=('首頁'!$B$8*12),C418+D418,"")</f>
      </c>
      <c r="C418" s="38">
        <f>IF((ROW()-3)&lt;=('首頁'!$B$8*12),G418*'首頁'!$B$7/12/100,"")</f>
      </c>
      <c r="D418" s="38">
        <f>IF((ROW()-3)&lt;=('首頁'!$B$8*12),IF(ROW()-3=('首頁'!$B$8*12),G418,MIN(G418,'首頁'!$B$13-C418)),"")</f>
      </c>
      <c r="E418" s="38">
        <f>IF((ROW()-3)&lt;=('首頁'!$B$8*12),G418-D418,"")</f>
      </c>
      <c r="G418" s="39">
        <f>IF((ROW()-3)&lt;=('首頁'!$B$8*12),E417,"")</f>
      </c>
    </row>
    <row r="419" ht="22" customHeight="1" spans="1:7" x14ac:dyDescent="0.25">
      <c r="A419" s="40">
        <f>IF((ROW()-3)&lt;=('首頁'!$B$8*12),ROW()-3,"")</f>
      </c>
      <c r="B419" s="41">
        <f>IF((ROW()-3)&lt;=('首頁'!$B$8*12),C419+D419,"")</f>
      </c>
      <c r="C419" s="42">
        <f>IF((ROW()-3)&lt;=('首頁'!$B$8*12),G419*'首頁'!$B$7/12/100,"")</f>
      </c>
      <c r="D419" s="42">
        <f>IF((ROW()-3)&lt;=('首頁'!$B$8*12),IF(ROW()-3=('首頁'!$B$8*12),G419,MIN(G419,'首頁'!$B$13-C419)),"")</f>
      </c>
      <c r="E419" s="42">
        <f>IF((ROW()-3)&lt;=('首頁'!$B$8*12),G419-D419,"")</f>
      </c>
      <c r="G419" s="39">
        <f>IF((ROW()-3)&lt;=('首頁'!$B$8*12),E418,"")</f>
      </c>
    </row>
    <row r="420" ht="22" customHeight="1" spans="1:7" x14ac:dyDescent="0.25">
      <c r="A420" s="36">
        <f>IF((ROW()-3)&lt;=('首頁'!$B$8*12),ROW()-3,"")</f>
      </c>
      <c r="B420" s="37">
        <f>IF((ROW()-3)&lt;=('首頁'!$B$8*12),C420+D420,"")</f>
      </c>
      <c r="C420" s="38">
        <f>IF((ROW()-3)&lt;=('首頁'!$B$8*12),G420*'首頁'!$B$7/12/100,"")</f>
      </c>
      <c r="D420" s="38">
        <f>IF((ROW()-3)&lt;=('首頁'!$B$8*12),IF(ROW()-3=('首頁'!$B$8*12),G420,MIN(G420,'首頁'!$B$13-C420)),"")</f>
      </c>
      <c r="E420" s="38">
        <f>IF((ROW()-3)&lt;=('首頁'!$B$8*12),G420-D420,"")</f>
      </c>
      <c r="G420" s="39">
        <f>IF((ROW()-3)&lt;=('首頁'!$B$8*12),E419,"")</f>
      </c>
    </row>
    <row r="421" ht="22" customHeight="1" spans="1:7" x14ac:dyDescent="0.25">
      <c r="A421" s="40">
        <f>IF((ROW()-3)&lt;=('首頁'!$B$8*12),ROW()-3,"")</f>
      </c>
      <c r="B421" s="41">
        <f>IF((ROW()-3)&lt;=('首頁'!$B$8*12),C421+D421,"")</f>
      </c>
      <c r="C421" s="42">
        <f>IF((ROW()-3)&lt;=('首頁'!$B$8*12),G421*'首頁'!$B$7/12/100,"")</f>
      </c>
      <c r="D421" s="42">
        <f>IF((ROW()-3)&lt;=('首頁'!$B$8*12),IF(ROW()-3=('首頁'!$B$8*12),G421,MIN(G421,'首頁'!$B$13-C421)),"")</f>
      </c>
      <c r="E421" s="42">
        <f>IF((ROW()-3)&lt;=('首頁'!$B$8*12),G421-D421,"")</f>
      </c>
      <c r="G421" s="39">
        <f>IF((ROW()-3)&lt;=('首頁'!$B$8*12),E420,"")</f>
      </c>
    </row>
    <row r="422" ht="22" customHeight="1" spans="1:7" x14ac:dyDescent="0.25">
      <c r="A422" s="36">
        <f>IF((ROW()-3)&lt;=('首頁'!$B$8*12),ROW()-3,"")</f>
      </c>
      <c r="B422" s="37">
        <f>IF((ROW()-3)&lt;=('首頁'!$B$8*12),C422+D422,"")</f>
      </c>
      <c r="C422" s="38">
        <f>IF((ROW()-3)&lt;=('首頁'!$B$8*12),G422*'首頁'!$B$7/12/100,"")</f>
      </c>
      <c r="D422" s="38">
        <f>IF((ROW()-3)&lt;=('首頁'!$B$8*12),IF(ROW()-3=('首頁'!$B$8*12),G422,MIN(G422,'首頁'!$B$13-C422)),"")</f>
      </c>
      <c r="E422" s="38">
        <f>IF((ROW()-3)&lt;=('首頁'!$B$8*12),G422-D422,"")</f>
      </c>
      <c r="G422" s="39">
        <f>IF((ROW()-3)&lt;=('首頁'!$B$8*12),E421,"")</f>
      </c>
    </row>
    <row r="423" ht="22" customHeight="1" spans="1:7" x14ac:dyDescent="0.25">
      <c r="A423" s="40">
        <f>IF((ROW()-3)&lt;=('首頁'!$B$8*12),ROW()-3,"")</f>
      </c>
      <c r="B423" s="41">
        <f>IF((ROW()-3)&lt;=('首頁'!$B$8*12),C423+D423,"")</f>
      </c>
      <c r="C423" s="42">
        <f>IF((ROW()-3)&lt;=('首頁'!$B$8*12),G423*'首頁'!$B$7/12/100,"")</f>
      </c>
      <c r="D423" s="42">
        <f>IF((ROW()-3)&lt;=('首頁'!$B$8*12),IF(ROW()-3=('首頁'!$B$8*12),G423,MIN(G423,'首頁'!$B$13-C423)),"")</f>
      </c>
      <c r="E423" s="42">
        <f>IF((ROW()-3)&lt;=('首頁'!$B$8*12),G423-D423,"")</f>
      </c>
      <c r="G423" s="39">
        <f>IF((ROW()-3)&lt;=('首頁'!$B$8*12),E422,"")</f>
      </c>
    </row>
    <row r="424" ht="22" customHeight="1" spans="1:7" x14ac:dyDescent="0.25">
      <c r="A424" s="36">
        <f>IF((ROW()-3)&lt;=('首頁'!$B$8*12),ROW()-3,"")</f>
      </c>
      <c r="B424" s="37">
        <f>IF((ROW()-3)&lt;=('首頁'!$B$8*12),C424+D424,"")</f>
      </c>
      <c r="C424" s="38">
        <f>IF((ROW()-3)&lt;=('首頁'!$B$8*12),G424*'首頁'!$B$7/12/100,"")</f>
      </c>
      <c r="D424" s="38">
        <f>IF((ROW()-3)&lt;=('首頁'!$B$8*12),IF(ROW()-3=('首頁'!$B$8*12),G424,MIN(G424,'首頁'!$B$13-C424)),"")</f>
      </c>
      <c r="E424" s="38">
        <f>IF((ROW()-3)&lt;=('首頁'!$B$8*12),G424-D424,"")</f>
      </c>
      <c r="G424" s="39">
        <f>IF((ROW()-3)&lt;=('首頁'!$B$8*12),E423,"")</f>
      </c>
    </row>
    <row r="425" ht="22" customHeight="1" spans="1:7" x14ac:dyDescent="0.25">
      <c r="A425" s="40">
        <f>IF((ROW()-3)&lt;=('首頁'!$B$8*12),ROW()-3,"")</f>
      </c>
      <c r="B425" s="41">
        <f>IF((ROW()-3)&lt;=('首頁'!$B$8*12),C425+D425,"")</f>
      </c>
      <c r="C425" s="42">
        <f>IF((ROW()-3)&lt;=('首頁'!$B$8*12),G425*'首頁'!$B$7/12/100,"")</f>
      </c>
      <c r="D425" s="42">
        <f>IF((ROW()-3)&lt;=('首頁'!$B$8*12),IF(ROW()-3=('首頁'!$B$8*12),G425,MIN(G425,'首頁'!$B$13-C425)),"")</f>
      </c>
      <c r="E425" s="42">
        <f>IF((ROW()-3)&lt;=('首頁'!$B$8*12),G425-D425,"")</f>
      </c>
      <c r="G425" s="39">
        <f>IF((ROW()-3)&lt;=('首頁'!$B$8*12),E424,"")</f>
      </c>
    </row>
    <row r="426" ht="22" customHeight="1" spans="1:7" x14ac:dyDescent="0.25">
      <c r="A426" s="36">
        <f>IF((ROW()-3)&lt;=('首頁'!$B$8*12),ROW()-3,"")</f>
      </c>
      <c r="B426" s="37">
        <f>IF((ROW()-3)&lt;=('首頁'!$B$8*12),C426+D426,"")</f>
      </c>
      <c r="C426" s="38">
        <f>IF((ROW()-3)&lt;=('首頁'!$B$8*12),G426*'首頁'!$B$7/12/100,"")</f>
      </c>
      <c r="D426" s="38">
        <f>IF((ROW()-3)&lt;=('首頁'!$B$8*12),IF(ROW()-3=('首頁'!$B$8*12),G426,MIN(G426,'首頁'!$B$13-C426)),"")</f>
      </c>
      <c r="E426" s="38">
        <f>IF((ROW()-3)&lt;=('首頁'!$B$8*12),G426-D426,"")</f>
      </c>
      <c r="G426" s="39">
        <f>IF((ROW()-3)&lt;=('首頁'!$B$8*12),E425,"")</f>
      </c>
    </row>
    <row r="427" ht="22" customHeight="1" spans="1:7" x14ac:dyDescent="0.25">
      <c r="A427" s="40">
        <f>IF((ROW()-3)&lt;=('首頁'!$B$8*12),ROW()-3,"")</f>
      </c>
      <c r="B427" s="41">
        <f>IF((ROW()-3)&lt;=('首頁'!$B$8*12),C427+D427,"")</f>
      </c>
      <c r="C427" s="42">
        <f>IF((ROW()-3)&lt;=('首頁'!$B$8*12),G427*'首頁'!$B$7/12/100,"")</f>
      </c>
      <c r="D427" s="42">
        <f>IF((ROW()-3)&lt;=('首頁'!$B$8*12),IF(ROW()-3=('首頁'!$B$8*12),G427,MIN(G427,'首頁'!$B$13-C427)),"")</f>
      </c>
      <c r="E427" s="42">
        <f>IF((ROW()-3)&lt;=('首頁'!$B$8*12),G427-D427,"")</f>
      </c>
      <c r="G427" s="39">
        <f>IF((ROW()-3)&lt;=('首頁'!$B$8*12),E426,"")</f>
      </c>
    </row>
    <row r="428" ht="22" customHeight="1" spans="1:7" x14ac:dyDescent="0.25">
      <c r="A428" s="36">
        <f>IF((ROW()-3)&lt;=('首頁'!$B$8*12),ROW()-3,"")</f>
      </c>
      <c r="B428" s="37">
        <f>IF((ROW()-3)&lt;=('首頁'!$B$8*12),C428+D428,"")</f>
      </c>
      <c r="C428" s="38">
        <f>IF((ROW()-3)&lt;=('首頁'!$B$8*12),G428*'首頁'!$B$7/12/100,"")</f>
      </c>
      <c r="D428" s="38">
        <f>IF((ROW()-3)&lt;=('首頁'!$B$8*12),IF(ROW()-3=('首頁'!$B$8*12),G428,MIN(G428,'首頁'!$B$13-C428)),"")</f>
      </c>
      <c r="E428" s="38">
        <f>IF((ROW()-3)&lt;=('首頁'!$B$8*12),G428-D428,"")</f>
      </c>
      <c r="G428" s="39">
        <f>IF((ROW()-3)&lt;=('首頁'!$B$8*12),E427,"")</f>
      </c>
    </row>
    <row r="429" ht="22" customHeight="1" spans="1:7" x14ac:dyDescent="0.25">
      <c r="A429" s="40">
        <f>IF((ROW()-3)&lt;=('首頁'!$B$8*12),ROW()-3,"")</f>
      </c>
      <c r="B429" s="41">
        <f>IF((ROW()-3)&lt;=('首頁'!$B$8*12),C429+D429,"")</f>
      </c>
      <c r="C429" s="42">
        <f>IF((ROW()-3)&lt;=('首頁'!$B$8*12),G429*'首頁'!$B$7/12/100,"")</f>
      </c>
      <c r="D429" s="42">
        <f>IF((ROW()-3)&lt;=('首頁'!$B$8*12),IF(ROW()-3=('首頁'!$B$8*12),G429,MIN(G429,'首頁'!$B$13-C429)),"")</f>
      </c>
      <c r="E429" s="42">
        <f>IF((ROW()-3)&lt;=('首頁'!$B$8*12),G429-D429,"")</f>
      </c>
      <c r="G429" s="39">
        <f>IF((ROW()-3)&lt;=('首頁'!$B$8*12),E428,"")</f>
      </c>
    </row>
    <row r="430" ht="22" customHeight="1" spans="1:7" x14ac:dyDescent="0.25">
      <c r="A430" s="36">
        <f>IF((ROW()-3)&lt;=('首頁'!$B$8*12),ROW()-3,"")</f>
      </c>
      <c r="B430" s="37">
        <f>IF((ROW()-3)&lt;=('首頁'!$B$8*12),C430+D430,"")</f>
      </c>
      <c r="C430" s="38">
        <f>IF((ROW()-3)&lt;=('首頁'!$B$8*12),G430*'首頁'!$B$7/12/100,"")</f>
      </c>
      <c r="D430" s="38">
        <f>IF((ROW()-3)&lt;=('首頁'!$B$8*12),IF(ROW()-3=('首頁'!$B$8*12),G430,MIN(G430,'首頁'!$B$13-C430)),"")</f>
      </c>
      <c r="E430" s="38">
        <f>IF((ROW()-3)&lt;=('首頁'!$B$8*12),G430-D430,"")</f>
      </c>
      <c r="G430" s="39">
        <f>IF((ROW()-3)&lt;=('首頁'!$B$8*12),E429,"")</f>
      </c>
    </row>
    <row r="431" ht="22" customHeight="1" spans="1:7" x14ac:dyDescent="0.25">
      <c r="A431" s="40">
        <f>IF((ROW()-3)&lt;=('首頁'!$B$8*12),ROW()-3,"")</f>
      </c>
      <c r="B431" s="41">
        <f>IF((ROW()-3)&lt;=('首頁'!$B$8*12),C431+D431,"")</f>
      </c>
      <c r="C431" s="42">
        <f>IF((ROW()-3)&lt;=('首頁'!$B$8*12),G431*'首頁'!$B$7/12/100,"")</f>
      </c>
      <c r="D431" s="42">
        <f>IF((ROW()-3)&lt;=('首頁'!$B$8*12),IF(ROW()-3=('首頁'!$B$8*12),G431,MIN(G431,'首頁'!$B$13-C431)),"")</f>
      </c>
      <c r="E431" s="42">
        <f>IF((ROW()-3)&lt;=('首頁'!$B$8*12),G431-D431,"")</f>
      </c>
      <c r="G431" s="39">
        <f>IF((ROW()-3)&lt;=('首頁'!$B$8*12),E430,"")</f>
      </c>
    </row>
    <row r="432" ht="22" customHeight="1" spans="1:7" x14ac:dyDescent="0.25">
      <c r="A432" s="36">
        <f>IF((ROW()-3)&lt;=('首頁'!$B$8*12),ROW()-3,"")</f>
      </c>
      <c r="B432" s="37">
        <f>IF((ROW()-3)&lt;=('首頁'!$B$8*12),C432+D432,"")</f>
      </c>
      <c r="C432" s="38">
        <f>IF((ROW()-3)&lt;=('首頁'!$B$8*12),G432*'首頁'!$B$7/12/100,"")</f>
      </c>
      <c r="D432" s="38">
        <f>IF((ROW()-3)&lt;=('首頁'!$B$8*12),IF(ROW()-3=('首頁'!$B$8*12),G432,MIN(G432,'首頁'!$B$13-C432)),"")</f>
      </c>
      <c r="E432" s="38">
        <f>IF((ROW()-3)&lt;=('首頁'!$B$8*12),G432-D432,"")</f>
      </c>
      <c r="G432" s="39">
        <f>IF((ROW()-3)&lt;=('首頁'!$B$8*12),E431,"")</f>
      </c>
    </row>
    <row r="433" ht="22" customHeight="1" spans="1:7" x14ac:dyDescent="0.25">
      <c r="A433" s="40">
        <f>IF((ROW()-3)&lt;=('首頁'!$B$8*12),ROW()-3,"")</f>
      </c>
      <c r="B433" s="41">
        <f>IF((ROW()-3)&lt;=('首頁'!$B$8*12),C433+D433,"")</f>
      </c>
      <c r="C433" s="42">
        <f>IF((ROW()-3)&lt;=('首頁'!$B$8*12),G433*'首頁'!$B$7/12/100,"")</f>
      </c>
      <c r="D433" s="42">
        <f>IF((ROW()-3)&lt;=('首頁'!$B$8*12),IF(ROW()-3=('首頁'!$B$8*12),G433,MIN(G433,'首頁'!$B$13-C433)),"")</f>
      </c>
      <c r="E433" s="42">
        <f>IF((ROW()-3)&lt;=('首頁'!$B$8*12),G433-D433,"")</f>
      </c>
      <c r="G433" s="39">
        <f>IF((ROW()-3)&lt;=('首頁'!$B$8*12),E432,"")</f>
      </c>
    </row>
    <row r="434" ht="22" customHeight="1" spans="1:7" x14ac:dyDescent="0.25">
      <c r="A434" s="36">
        <f>IF((ROW()-3)&lt;=('首頁'!$B$8*12),ROW()-3,"")</f>
      </c>
      <c r="B434" s="37">
        <f>IF((ROW()-3)&lt;=('首頁'!$B$8*12),C434+D434,"")</f>
      </c>
      <c r="C434" s="38">
        <f>IF((ROW()-3)&lt;=('首頁'!$B$8*12),G434*'首頁'!$B$7/12/100,"")</f>
      </c>
      <c r="D434" s="38">
        <f>IF((ROW()-3)&lt;=('首頁'!$B$8*12),IF(ROW()-3=('首頁'!$B$8*12),G434,MIN(G434,'首頁'!$B$13-C434)),"")</f>
      </c>
      <c r="E434" s="38">
        <f>IF((ROW()-3)&lt;=('首頁'!$B$8*12),G434-D434,"")</f>
      </c>
      <c r="G434" s="39">
        <f>IF((ROW()-3)&lt;=('首頁'!$B$8*12),E433,"")</f>
      </c>
    </row>
    <row r="435" ht="22" customHeight="1" spans="1:7" x14ac:dyDescent="0.25">
      <c r="A435" s="40">
        <f>IF((ROW()-3)&lt;=('首頁'!$B$8*12),ROW()-3,"")</f>
      </c>
      <c r="B435" s="41">
        <f>IF((ROW()-3)&lt;=('首頁'!$B$8*12),C435+D435,"")</f>
      </c>
      <c r="C435" s="42">
        <f>IF((ROW()-3)&lt;=('首頁'!$B$8*12),G435*'首頁'!$B$7/12/100,"")</f>
      </c>
      <c r="D435" s="42">
        <f>IF((ROW()-3)&lt;=('首頁'!$B$8*12),IF(ROW()-3=('首頁'!$B$8*12),G435,MIN(G435,'首頁'!$B$13-C435)),"")</f>
      </c>
      <c r="E435" s="42">
        <f>IF((ROW()-3)&lt;=('首頁'!$B$8*12),G435-D435,"")</f>
      </c>
      <c r="G435" s="39">
        <f>IF((ROW()-3)&lt;=('首頁'!$B$8*12),E434,"")</f>
      </c>
    </row>
    <row r="436" ht="22" customHeight="1" spans="1:7" x14ac:dyDescent="0.25">
      <c r="A436" s="36">
        <f>IF((ROW()-3)&lt;=('首頁'!$B$8*12),ROW()-3,"")</f>
      </c>
      <c r="B436" s="37">
        <f>IF((ROW()-3)&lt;=('首頁'!$B$8*12),C436+D436,"")</f>
      </c>
      <c r="C436" s="38">
        <f>IF((ROW()-3)&lt;=('首頁'!$B$8*12),G436*'首頁'!$B$7/12/100,"")</f>
      </c>
      <c r="D436" s="38">
        <f>IF((ROW()-3)&lt;=('首頁'!$B$8*12),IF(ROW()-3=('首頁'!$B$8*12),G436,MIN(G436,'首頁'!$B$13-C436)),"")</f>
      </c>
      <c r="E436" s="38">
        <f>IF((ROW()-3)&lt;=('首頁'!$B$8*12),G436-D436,"")</f>
      </c>
      <c r="G436" s="39">
        <f>IF((ROW()-3)&lt;=('首頁'!$B$8*12),E435,"")</f>
      </c>
    </row>
    <row r="437" ht="22" customHeight="1" spans="1:7" x14ac:dyDescent="0.25">
      <c r="A437" s="40">
        <f>IF((ROW()-3)&lt;=('首頁'!$B$8*12),ROW()-3,"")</f>
      </c>
      <c r="B437" s="41">
        <f>IF((ROW()-3)&lt;=('首頁'!$B$8*12),C437+D437,"")</f>
      </c>
      <c r="C437" s="42">
        <f>IF((ROW()-3)&lt;=('首頁'!$B$8*12),G437*'首頁'!$B$7/12/100,"")</f>
      </c>
      <c r="D437" s="42">
        <f>IF((ROW()-3)&lt;=('首頁'!$B$8*12),IF(ROW()-3=('首頁'!$B$8*12),G437,MIN(G437,'首頁'!$B$13-C437)),"")</f>
      </c>
      <c r="E437" s="42">
        <f>IF((ROW()-3)&lt;=('首頁'!$B$8*12),G437-D437,"")</f>
      </c>
      <c r="G437" s="39">
        <f>IF((ROW()-3)&lt;=('首頁'!$B$8*12),E436,"")</f>
      </c>
    </row>
    <row r="438" ht="22" customHeight="1" spans="1:7" x14ac:dyDescent="0.25">
      <c r="A438" s="36">
        <f>IF((ROW()-3)&lt;=('首頁'!$B$8*12),ROW()-3,"")</f>
      </c>
      <c r="B438" s="37">
        <f>IF((ROW()-3)&lt;=('首頁'!$B$8*12),C438+D438,"")</f>
      </c>
      <c r="C438" s="38">
        <f>IF((ROW()-3)&lt;=('首頁'!$B$8*12),G438*'首頁'!$B$7/12/100,"")</f>
      </c>
      <c r="D438" s="38">
        <f>IF((ROW()-3)&lt;=('首頁'!$B$8*12),IF(ROW()-3=('首頁'!$B$8*12),G438,MIN(G438,'首頁'!$B$13-C438)),"")</f>
      </c>
      <c r="E438" s="38">
        <f>IF((ROW()-3)&lt;=('首頁'!$B$8*12),G438-D438,"")</f>
      </c>
      <c r="G438" s="39">
        <f>IF((ROW()-3)&lt;=('首頁'!$B$8*12),E437,"")</f>
      </c>
    </row>
    <row r="439" ht="22" customHeight="1" spans="1:7" x14ac:dyDescent="0.25">
      <c r="A439" s="40">
        <f>IF((ROW()-3)&lt;=('首頁'!$B$8*12),ROW()-3,"")</f>
      </c>
      <c r="B439" s="41">
        <f>IF((ROW()-3)&lt;=('首頁'!$B$8*12),C439+D439,"")</f>
      </c>
      <c r="C439" s="42">
        <f>IF((ROW()-3)&lt;=('首頁'!$B$8*12),G439*'首頁'!$B$7/12/100,"")</f>
      </c>
      <c r="D439" s="42">
        <f>IF((ROW()-3)&lt;=('首頁'!$B$8*12),IF(ROW()-3=('首頁'!$B$8*12),G439,MIN(G439,'首頁'!$B$13-C439)),"")</f>
      </c>
      <c r="E439" s="42">
        <f>IF((ROW()-3)&lt;=('首頁'!$B$8*12),G439-D439,"")</f>
      </c>
      <c r="G439" s="39">
        <f>IF((ROW()-3)&lt;=('首頁'!$B$8*12),E438,"")</f>
      </c>
    </row>
    <row r="440" ht="22" customHeight="1" spans="1:7" x14ac:dyDescent="0.25">
      <c r="A440" s="36">
        <f>IF((ROW()-3)&lt;=('首頁'!$B$8*12),ROW()-3,"")</f>
      </c>
      <c r="B440" s="37">
        <f>IF((ROW()-3)&lt;=('首頁'!$B$8*12),C440+D440,"")</f>
      </c>
      <c r="C440" s="38">
        <f>IF((ROW()-3)&lt;=('首頁'!$B$8*12),G440*'首頁'!$B$7/12/100,"")</f>
      </c>
      <c r="D440" s="38">
        <f>IF((ROW()-3)&lt;=('首頁'!$B$8*12),IF(ROW()-3=('首頁'!$B$8*12),G440,MIN(G440,'首頁'!$B$13-C440)),"")</f>
      </c>
      <c r="E440" s="38">
        <f>IF((ROW()-3)&lt;=('首頁'!$B$8*12),G440-D440,"")</f>
      </c>
      <c r="G440" s="39">
        <f>IF((ROW()-3)&lt;=('首頁'!$B$8*12),E439,"")</f>
      </c>
    </row>
    <row r="441" ht="22" customHeight="1" spans="1:7" x14ac:dyDescent="0.25">
      <c r="A441" s="40">
        <f>IF((ROW()-3)&lt;=('首頁'!$B$8*12),ROW()-3,"")</f>
      </c>
      <c r="B441" s="41">
        <f>IF((ROW()-3)&lt;=('首頁'!$B$8*12),C441+D441,"")</f>
      </c>
      <c r="C441" s="42">
        <f>IF((ROW()-3)&lt;=('首頁'!$B$8*12),G441*'首頁'!$B$7/12/100,"")</f>
      </c>
      <c r="D441" s="42">
        <f>IF((ROW()-3)&lt;=('首頁'!$B$8*12),IF(ROW()-3=('首頁'!$B$8*12),G441,MIN(G441,'首頁'!$B$13-C441)),"")</f>
      </c>
      <c r="E441" s="42">
        <f>IF((ROW()-3)&lt;=('首頁'!$B$8*12),G441-D441,"")</f>
      </c>
      <c r="G441" s="39">
        <f>IF((ROW()-3)&lt;=('首頁'!$B$8*12),E440,"")</f>
      </c>
    </row>
    <row r="442" ht="22" customHeight="1" spans="1:7" x14ac:dyDescent="0.25">
      <c r="A442" s="36">
        <f>IF((ROW()-3)&lt;=('首頁'!$B$8*12),ROW()-3,"")</f>
      </c>
      <c r="B442" s="37">
        <f>IF((ROW()-3)&lt;=('首頁'!$B$8*12),C442+D442,"")</f>
      </c>
      <c r="C442" s="38">
        <f>IF((ROW()-3)&lt;=('首頁'!$B$8*12),G442*'首頁'!$B$7/12/100,"")</f>
      </c>
      <c r="D442" s="38">
        <f>IF((ROW()-3)&lt;=('首頁'!$B$8*12),IF(ROW()-3=('首頁'!$B$8*12),G442,MIN(G442,'首頁'!$B$13-C442)),"")</f>
      </c>
      <c r="E442" s="38">
        <f>IF((ROW()-3)&lt;=('首頁'!$B$8*12),G442-D442,"")</f>
      </c>
      <c r="G442" s="39">
        <f>IF((ROW()-3)&lt;=('首頁'!$B$8*12),E441,"")</f>
      </c>
    </row>
    <row r="443" ht="22" customHeight="1" spans="1:7" x14ac:dyDescent="0.25">
      <c r="A443" s="40">
        <f>IF((ROW()-3)&lt;=('首頁'!$B$8*12),ROW()-3,"")</f>
      </c>
      <c r="B443" s="41">
        <f>IF((ROW()-3)&lt;=('首頁'!$B$8*12),C443+D443,"")</f>
      </c>
      <c r="C443" s="42">
        <f>IF((ROW()-3)&lt;=('首頁'!$B$8*12),G443*'首頁'!$B$7/12/100,"")</f>
      </c>
      <c r="D443" s="42">
        <f>IF((ROW()-3)&lt;=('首頁'!$B$8*12),IF(ROW()-3=('首頁'!$B$8*12),G443,MIN(G443,'首頁'!$B$13-C443)),"")</f>
      </c>
      <c r="E443" s="42">
        <f>IF((ROW()-3)&lt;=('首頁'!$B$8*12),G443-D443,"")</f>
      </c>
      <c r="G443" s="39">
        <f>IF((ROW()-3)&lt;=('首頁'!$B$8*12),E442,"")</f>
      </c>
    </row>
    <row r="444" ht="22" customHeight="1" spans="1:7" x14ac:dyDescent="0.25">
      <c r="A444" s="36">
        <f>IF((ROW()-3)&lt;=('首頁'!$B$8*12),ROW()-3,"")</f>
      </c>
      <c r="B444" s="37">
        <f>IF((ROW()-3)&lt;=('首頁'!$B$8*12),C444+D444,"")</f>
      </c>
      <c r="C444" s="38">
        <f>IF((ROW()-3)&lt;=('首頁'!$B$8*12),G444*'首頁'!$B$7/12/100,"")</f>
      </c>
      <c r="D444" s="38">
        <f>IF((ROW()-3)&lt;=('首頁'!$B$8*12),IF(ROW()-3=('首頁'!$B$8*12),G444,MIN(G444,'首頁'!$B$13-C444)),"")</f>
      </c>
      <c r="E444" s="38">
        <f>IF((ROW()-3)&lt;=('首頁'!$B$8*12),G444-D444,"")</f>
      </c>
      <c r="G444" s="39">
        <f>IF((ROW()-3)&lt;=('首頁'!$B$8*12),E443,"")</f>
      </c>
    </row>
    <row r="445" ht="22" customHeight="1" spans="1:7" x14ac:dyDescent="0.25">
      <c r="A445" s="40">
        <f>IF((ROW()-3)&lt;=('首頁'!$B$8*12),ROW()-3,"")</f>
      </c>
      <c r="B445" s="41">
        <f>IF((ROW()-3)&lt;=('首頁'!$B$8*12),C445+D445,"")</f>
      </c>
      <c r="C445" s="42">
        <f>IF((ROW()-3)&lt;=('首頁'!$B$8*12),G445*'首頁'!$B$7/12/100,"")</f>
      </c>
      <c r="D445" s="42">
        <f>IF((ROW()-3)&lt;=('首頁'!$B$8*12),IF(ROW()-3=('首頁'!$B$8*12),G445,MIN(G445,'首頁'!$B$13-C445)),"")</f>
      </c>
      <c r="E445" s="42">
        <f>IF((ROW()-3)&lt;=('首頁'!$B$8*12),G445-D445,"")</f>
      </c>
      <c r="G445" s="39">
        <f>IF((ROW()-3)&lt;=('首頁'!$B$8*12),E444,"")</f>
      </c>
    </row>
    <row r="446" ht="22" customHeight="1" spans="1:7" x14ac:dyDescent="0.25">
      <c r="A446" s="36">
        <f>IF((ROW()-3)&lt;=('首頁'!$B$8*12),ROW()-3,"")</f>
      </c>
      <c r="B446" s="37">
        <f>IF((ROW()-3)&lt;=('首頁'!$B$8*12),C446+D446,"")</f>
      </c>
      <c r="C446" s="38">
        <f>IF((ROW()-3)&lt;=('首頁'!$B$8*12),G446*'首頁'!$B$7/12/100,"")</f>
      </c>
      <c r="D446" s="38">
        <f>IF((ROW()-3)&lt;=('首頁'!$B$8*12),IF(ROW()-3=('首頁'!$B$8*12),G446,MIN(G446,'首頁'!$B$13-C446)),"")</f>
      </c>
      <c r="E446" s="38">
        <f>IF((ROW()-3)&lt;=('首頁'!$B$8*12),G446-D446,"")</f>
      </c>
      <c r="G446" s="39">
        <f>IF((ROW()-3)&lt;=('首頁'!$B$8*12),E445,"")</f>
      </c>
    </row>
    <row r="447" ht="22" customHeight="1" spans="1:7" x14ac:dyDescent="0.25">
      <c r="A447" s="40">
        <f>IF((ROW()-3)&lt;=('首頁'!$B$8*12),ROW()-3,"")</f>
      </c>
      <c r="B447" s="41">
        <f>IF((ROW()-3)&lt;=('首頁'!$B$8*12),C447+D447,"")</f>
      </c>
      <c r="C447" s="42">
        <f>IF((ROW()-3)&lt;=('首頁'!$B$8*12),G447*'首頁'!$B$7/12/100,"")</f>
      </c>
      <c r="D447" s="42">
        <f>IF((ROW()-3)&lt;=('首頁'!$B$8*12),IF(ROW()-3=('首頁'!$B$8*12),G447,MIN(G447,'首頁'!$B$13-C447)),"")</f>
      </c>
      <c r="E447" s="42">
        <f>IF((ROW()-3)&lt;=('首頁'!$B$8*12),G447-D447,"")</f>
      </c>
      <c r="G447" s="39">
        <f>IF((ROW()-3)&lt;=('首頁'!$B$8*12),E446,"")</f>
      </c>
    </row>
    <row r="448" ht="22" customHeight="1" spans="1:7" x14ac:dyDescent="0.25">
      <c r="A448" s="36">
        <f>IF((ROW()-3)&lt;=('首頁'!$B$8*12),ROW()-3,"")</f>
      </c>
      <c r="B448" s="37">
        <f>IF((ROW()-3)&lt;=('首頁'!$B$8*12),C448+D448,"")</f>
      </c>
      <c r="C448" s="38">
        <f>IF((ROW()-3)&lt;=('首頁'!$B$8*12),G448*'首頁'!$B$7/12/100,"")</f>
      </c>
      <c r="D448" s="38">
        <f>IF((ROW()-3)&lt;=('首頁'!$B$8*12),IF(ROW()-3=('首頁'!$B$8*12),G448,MIN(G448,'首頁'!$B$13-C448)),"")</f>
      </c>
      <c r="E448" s="38">
        <f>IF((ROW()-3)&lt;=('首頁'!$B$8*12),G448-D448,"")</f>
      </c>
      <c r="G448" s="39">
        <f>IF((ROW()-3)&lt;=('首頁'!$B$8*12),E447,"")</f>
      </c>
    </row>
    <row r="449" ht="22" customHeight="1" spans="1:7" x14ac:dyDescent="0.25">
      <c r="A449" s="40">
        <f>IF((ROW()-3)&lt;=('首頁'!$B$8*12),ROW()-3,"")</f>
      </c>
      <c r="B449" s="41">
        <f>IF((ROW()-3)&lt;=('首頁'!$B$8*12),C449+D449,"")</f>
      </c>
      <c r="C449" s="42">
        <f>IF((ROW()-3)&lt;=('首頁'!$B$8*12),G449*'首頁'!$B$7/12/100,"")</f>
      </c>
      <c r="D449" s="42">
        <f>IF((ROW()-3)&lt;=('首頁'!$B$8*12),IF(ROW()-3=('首頁'!$B$8*12),G449,MIN(G449,'首頁'!$B$13-C449)),"")</f>
      </c>
      <c r="E449" s="42">
        <f>IF((ROW()-3)&lt;=('首頁'!$B$8*12),G449-D449,"")</f>
      </c>
      <c r="G449" s="39">
        <f>IF((ROW()-3)&lt;=('首頁'!$B$8*12),E448,"")</f>
      </c>
    </row>
    <row r="450" ht="22" customHeight="1" spans="1:7" x14ac:dyDescent="0.25">
      <c r="A450" s="36">
        <f>IF((ROW()-3)&lt;=('首頁'!$B$8*12),ROW()-3,"")</f>
      </c>
      <c r="B450" s="37">
        <f>IF((ROW()-3)&lt;=('首頁'!$B$8*12),C450+D450,"")</f>
      </c>
      <c r="C450" s="38">
        <f>IF((ROW()-3)&lt;=('首頁'!$B$8*12),G450*'首頁'!$B$7/12/100,"")</f>
      </c>
      <c r="D450" s="38">
        <f>IF((ROW()-3)&lt;=('首頁'!$B$8*12),IF(ROW()-3=('首頁'!$B$8*12),G450,MIN(G450,'首頁'!$B$13-C450)),"")</f>
      </c>
      <c r="E450" s="38">
        <f>IF((ROW()-3)&lt;=('首頁'!$B$8*12),G450-D450,"")</f>
      </c>
      <c r="G450" s="39">
        <f>IF((ROW()-3)&lt;=('首頁'!$B$8*12),E449,"")</f>
      </c>
    </row>
    <row r="451" ht="22" customHeight="1" spans="1:7" x14ac:dyDescent="0.25">
      <c r="A451" s="40">
        <f>IF((ROW()-3)&lt;=('首頁'!$B$8*12),ROW()-3,"")</f>
      </c>
      <c r="B451" s="41">
        <f>IF((ROW()-3)&lt;=('首頁'!$B$8*12),C451+D451,"")</f>
      </c>
      <c r="C451" s="42">
        <f>IF((ROW()-3)&lt;=('首頁'!$B$8*12),G451*'首頁'!$B$7/12/100,"")</f>
      </c>
      <c r="D451" s="42">
        <f>IF((ROW()-3)&lt;=('首頁'!$B$8*12),IF(ROW()-3=('首頁'!$B$8*12),G451,MIN(G451,'首頁'!$B$13-C451)),"")</f>
      </c>
      <c r="E451" s="42">
        <f>IF((ROW()-3)&lt;=('首頁'!$B$8*12),G451-D451,"")</f>
      </c>
      <c r="G451" s="39">
        <f>IF((ROW()-3)&lt;=('首頁'!$B$8*12),E450,"")</f>
      </c>
    </row>
    <row r="452" ht="22" customHeight="1" spans="1:7" x14ac:dyDescent="0.25">
      <c r="A452" s="36">
        <f>IF((ROW()-3)&lt;=('首頁'!$B$8*12),ROW()-3,"")</f>
      </c>
      <c r="B452" s="37">
        <f>IF((ROW()-3)&lt;=('首頁'!$B$8*12),C452+D452,"")</f>
      </c>
      <c r="C452" s="38">
        <f>IF((ROW()-3)&lt;=('首頁'!$B$8*12),G452*'首頁'!$B$7/12/100,"")</f>
      </c>
      <c r="D452" s="38">
        <f>IF((ROW()-3)&lt;=('首頁'!$B$8*12),IF(ROW()-3=('首頁'!$B$8*12),G452,MIN(G452,'首頁'!$B$13-C452)),"")</f>
      </c>
      <c r="E452" s="38">
        <f>IF((ROW()-3)&lt;=('首頁'!$B$8*12),G452-D452,"")</f>
      </c>
      <c r="G452" s="39">
        <f>IF((ROW()-3)&lt;=('首頁'!$B$8*12),E451,"")</f>
      </c>
    </row>
    <row r="453" ht="22" customHeight="1" spans="1:7" x14ac:dyDescent="0.25">
      <c r="A453" s="40">
        <f>IF((ROW()-3)&lt;=('首頁'!$B$8*12),ROW()-3,"")</f>
      </c>
      <c r="B453" s="41">
        <f>IF((ROW()-3)&lt;=('首頁'!$B$8*12),C453+D453,"")</f>
      </c>
      <c r="C453" s="42">
        <f>IF((ROW()-3)&lt;=('首頁'!$B$8*12),G453*'首頁'!$B$7/12/100,"")</f>
      </c>
      <c r="D453" s="42">
        <f>IF((ROW()-3)&lt;=('首頁'!$B$8*12),IF(ROW()-3=('首頁'!$B$8*12),G453,MIN(G453,'首頁'!$B$13-C453)),"")</f>
      </c>
      <c r="E453" s="42">
        <f>IF((ROW()-3)&lt;=('首頁'!$B$8*12),G453-D453,"")</f>
      </c>
      <c r="G453" s="39">
        <f>IF((ROW()-3)&lt;=('首頁'!$B$8*12),E452,"")</f>
      </c>
    </row>
    <row r="454" ht="22" customHeight="1" spans="1:7" x14ac:dyDescent="0.25">
      <c r="A454" s="36">
        <f>IF((ROW()-3)&lt;=('首頁'!$B$8*12),ROW()-3,"")</f>
      </c>
      <c r="B454" s="37">
        <f>IF((ROW()-3)&lt;=('首頁'!$B$8*12),C454+D454,"")</f>
      </c>
      <c r="C454" s="38">
        <f>IF((ROW()-3)&lt;=('首頁'!$B$8*12),G454*'首頁'!$B$7/12/100,"")</f>
      </c>
      <c r="D454" s="38">
        <f>IF((ROW()-3)&lt;=('首頁'!$B$8*12),IF(ROW()-3=('首頁'!$B$8*12),G454,MIN(G454,'首頁'!$B$13-C454)),"")</f>
      </c>
      <c r="E454" s="38">
        <f>IF((ROW()-3)&lt;=('首頁'!$B$8*12),G454-D454,"")</f>
      </c>
      <c r="G454" s="39">
        <f>IF((ROW()-3)&lt;=('首頁'!$B$8*12),E453,"")</f>
      </c>
    </row>
    <row r="455" ht="22" customHeight="1" spans="1:7" x14ac:dyDescent="0.25">
      <c r="A455" s="40">
        <f>IF((ROW()-3)&lt;=('首頁'!$B$8*12),ROW()-3,"")</f>
      </c>
      <c r="B455" s="41">
        <f>IF((ROW()-3)&lt;=('首頁'!$B$8*12),C455+D455,"")</f>
      </c>
      <c r="C455" s="42">
        <f>IF((ROW()-3)&lt;=('首頁'!$B$8*12),G455*'首頁'!$B$7/12/100,"")</f>
      </c>
      <c r="D455" s="42">
        <f>IF((ROW()-3)&lt;=('首頁'!$B$8*12),IF(ROW()-3=('首頁'!$B$8*12),G455,MIN(G455,'首頁'!$B$13-C455)),"")</f>
      </c>
      <c r="E455" s="42">
        <f>IF((ROW()-3)&lt;=('首頁'!$B$8*12),G455-D455,"")</f>
      </c>
      <c r="G455" s="39">
        <f>IF((ROW()-3)&lt;=('首頁'!$B$8*12),E454,"")</f>
      </c>
    </row>
    <row r="456" ht="22" customHeight="1" spans="1:7" x14ac:dyDescent="0.25">
      <c r="A456" s="36">
        <f>IF((ROW()-3)&lt;=('首頁'!$B$8*12),ROW()-3,"")</f>
      </c>
      <c r="B456" s="37">
        <f>IF((ROW()-3)&lt;=('首頁'!$B$8*12),C456+D456,"")</f>
      </c>
      <c r="C456" s="38">
        <f>IF((ROW()-3)&lt;=('首頁'!$B$8*12),G456*'首頁'!$B$7/12/100,"")</f>
      </c>
      <c r="D456" s="38">
        <f>IF((ROW()-3)&lt;=('首頁'!$B$8*12),IF(ROW()-3=('首頁'!$B$8*12),G456,MIN(G456,'首頁'!$B$13-C456)),"")</f>
      </c>
      <c r="E456" s="38">
        <f>IF((ROW()-3)&lt;=('首頁'!$B$8*12),G456-D456,"")</f>
      </c>
      <c r="G456" s="39">
        <f>IF((ROW()-3)&lt;=('首頁'!$B$8*12),E455,"")</f>
      </c>
    </row>
    <row r="457" ht="22" customHeight="1" spans="1:7" x14ac:dyDescent="0.25">
      <c r="A457" s="40">
        <f>IF((ROW()-3)&lt;=('首頁'!$B$8*12),ROW()-3,"")</f>
      </c>
      <c r="B457" s="41">
        <f>IF((ROW()-3)&lt;=('首頁'!$B$8*12),C457+D457,"")</f>
      </c>
      <c r="C457" s="42">
        <f>IF((ROW()-3)&lt;=('首頁'!$B$8*12),G457*'首頁'!$B$7/12/100,"")</f>
      </c>
      <c r="D457" s="42">
        <f>IF((ROW()-3)&lt;=('首頁'!$B$8*12),IF(ROW()-3=('首頁'!$B$8*12),G457,MIN(G457,'首頁'!$B$13-C457)),"")</f>
      </c>
      <c r="E457" s="42">
        <f>IF((ROW()-3)&lt;=('首頁'!$B$8*12),G457-D457,"")</f>
      </c>
      <c r="G457" s="39">
        <f>IF((ROW()-3)&lt;=('首頁'!$B$8*12),E456,"")</f>
      </c>
    </row>
    <row r="458" ht="22" customHeight="1" spans="1:7" x14ac:dyDescent="0.25">
      <c r="A458" s="36">
        <f>IF((ROW()-3)&lt;=('首頁'!$B$8*12),ROW()-3,"")</f>
      </c>
      <c r="B458" s="37">
        <f>IF((ROW()-3)&lt;=('首頁'!$B$8*12),C458+D458,"")</f>
      </c>
      <c r="C458" s="38">
        <f>IF((ROW()-3)&lt;=('首頁'!$B$8*12),G458*'首頁'!$B$7/12/100,"")</f>
      </c>
      <c r="D458" s="38">
        <f>IF((ROW()-3)&lt;=('首頁'!$B$8*12),IF(ROW()-3=('首頁'!$B$8*12),G458,MIN(G458,'首頁'!$B$13-C458)),"")</f>
      </c>
      <c r="E458" s="38">
        <f>IF((ROW()-3)&lt;=('首頁'!$B$8*12),G458-D458,"")</f>
      </c>
      <c r="G458" s="39">
        <f>IF((ROW()-3)&lt;=('首頁'!$B$8*12),E457,"")</f>
      </c>
    </row>
    <row r="459" ht="22" customHeight="1" spans="1:7" x14ac:dyDescent="0.25">
      <c r="A459" s="40">
        <f>IF((ROW()-3)&lt;=('首頁'!$B$8*12),ROW()-3,"")</f>
      </c>
      <c r="B459" s="41">
        <f>IF((ROW()-3)&lt;=('首頁'!$B$8*12),C459+D459,"")</f>
      </c>
      <c r="C459" s="42">
        <f>IF((ROW()-3)&lt;=('首頁'!$B$8*12),G459*'首頁'!$B$7/12/100,"")</f>
      </c>
      <c r="D459" s="42">
        <f>IF((ROW()-3)&lt;=('首頁'!$B$8*12),IF(ROW()-3=('首頁'!$B$8*12),G459,MIN(G459,'首頁'!$B$13-C459)),"")</f>
      </c>
      <c r="E459" s="42">
        <f>IF((ROW()-3)&lt;=('首頁'!$B$8*12),G459-D459,"")</f>
      </c>
      <c r="G459" s="39">
        <f>IF((ROW()-3)&lt;=('首頁'!$B$8*12),E458,"")</f>
      </c>
    </row>
    <row r="460" ht="22" customHeight="1" spans="1:7" x14ac:dyDescent="0.25">
      <c r="A460" s="36">
        <f>IF((ROW()-3)&lt;=('首頁'!$B$8*12),ROW()-3,"")</f>
      </c>
      <c r="B460" s="37">
        <f>IF((ROW()-3)&lt;=('首頁'!$B$8*12),C460+D460,"")</f>
      </c>
      <c r="C460" s="38">
        <f>IF((ROW()-3)&lt;=('首頁'!$B$8*12),G460*'首頁'!$B$7/12/100,"")</f>
      </c>
      <c r="D460" s="38">
        <f>IF((ROW()-3)&lt;=('首頁'!$B$8*12),IF(ROW()-3=('首頁'!$B$8*12),G460,MIN(G460,'首頁'!$B$13-C460)),"")</f>
      </c>
      <c r="E460" s="38">
        <f>IF((ROW()-3)&lt;=('首頁'!$B$8*12),G460-D460,"")</f>
      </c>
      <c r="G460" s="39">
        <f>IF((ROW()-3)&lt;=('首頁'!$B$8*12),E459,"")</f>
      </c>
    </row>
    <row r="461" ht="22" customHeight="1" spans="1:7" x14ac:dyDescent="0.25">
      <c r="A461" s="40">
        <f>IF((ROW()-3)&lt;=('首頁'!$B$8*12),ROW()-3,"")</f>
      </c>
      <c r="B461" s="41">
        <f>IF((ROW()-3)&lt;=('首頁'!$B$8*12),C461+D461,"")</f>
      </c>
      <c r="C461" s="42">
        <f>IF((ROW()-3)&lt;=('首頁'!$B$8*12),G461*'首頁'!$B$7/12/100,"")</f>
      </c>
      <c r="D461" s="42">
        <f>IF((ROW()-3)&lt;=('首頁'!$B$8*12),IF(ROW()-3=('首頁'!$B$8*12),G461,MIN(G461,'首頁'!$B$13-C461)),"")</f>
      </c>
      <c r="E461" s="42">
        <f>IF((ROW()-3)&lt;=('首頁'!$B$8*12),G461-D461,"")</f>
      </c>
      <c r="G461" s="39">
        <f>IF((ROW()-3)&lt;=('首頁'!$B$8*12),E460,"")</f>
      </c>
    </row>
    <row r="462" ht="22" customHeight="1" spans="1:7" x14ac:dyDescent="0.25">
      <c r="A462" s="36">
        <f>IF((ROW()-3)&lt;=('首頁'!$B$8*12),ROW()-3,"")</f>
      </c>
      <c r="B462" s="37">
        <f>IF((ROW()-3)&lt;=('首頁'!$B$8*12),C462+D462,"")</f>
      </c>
      <c r="C462" s="38">
        <f>IF((ROW()-3)&lt;=('首頁'!$B$8*12),G462*'首頁'!$B$7/12/100,"")</f>
      </c>
      <c r="D462" s="38">
        <f>IF((ROW()-3)&lt;=('首頁'!$B$8*12),IF(ROW()-3=('首頁'!$B$8*12),G462,MIN(G462,'首頁'!$B$13-C462)),"")</f>
      </c>
      <c r="E462" s="38">
        <f>IF((ROW()-3)&lt;=('首頁'!$B$8*12),G462-D462,"")</f>
      </c>
      <c r="G462" s="39">
        <f>IF((ROW()-3)&lt;=('首頁'!$B$8*12),E461,"")</f>
      </c>
    </row>
    <row r="463" ht="22" customHeight="1" spans="1:7" x14ac:dyDescent="0.25">
      <c r="A463" s="40">
        <f>IF((ROW()-3)&lt;=('首頁'!$B$8*12),ROW()-3,"")</f>
      </c>
      <c r="B463" s="41">
        <f>IF((ROW()-3)&lt;=('首頁'!$B$8*12),C463+D463,"")</f>
      </c>
      <c r="C463" s="42">
        <f>IF((ROW()-3)&lt;=('首頁'!$B$8*12),G463*'首頁'!$B$7/12/100,"")</f>
      </c>
      <c r="D463" s="42">
        <f>IF((ROW()-3)&lt;=('首頁'!$B$8*12),IF(ROW()-3=('首頁'!$B$8*12),G463,MIN(G463,'首頁'!$B$13-C463)),"")</f>
      </c>
      <c r="E463" s="42">
        <f>IF((ROW()-3)&lt;=('首頁'!$B$8*12),G463-D463,"")</f>
      </c>
      <c r="G463" s="39">
        <f>IF((ROW()-3)&lt;=('首頁'!$B$8*12),E462,"")</f>
      </c>
    </row>
    <row r="464" ht="22" customHeight="1" spans="1:7" x14ac:dyDescent="0.25">
      <c r="A464" s="36">
        <f>IF((ROW()-3)&lt;=('首頁'!$B$8*12),ROW()-3,"")</f>
      </c>
      <c r="B464" s="37">
        <f>IF((ROW()-3)&lt;=('首頁'!$B$8*12),C464+D464,"")</f>
      </c>
      <c r="C464" s="38">
        <f>IF((ROW()-3)&lt;=('首頁'!$B$8*12),G464*'首頁'!$B$7/12/100,"")</f>
      </c>
      <c r="D464" s="38">
        <f>IF((ROW()-3)&lt;=('首頁'!$B$8*12),IF(ROW()-3=('首頁'!$B$8*12),G464,MIN(G464,'首頁'!$B$13-C464)),"")</f>
      </c>
      <c r="E464" s="38">
        <f>IF((ROW()-3)&lt;=('首頁'!$B$8*12),G464-D464,"")</f>
      </c>
      <c r="G464" s="39">
        <f>IF((ROW()-3)&lt;=('首頁'!$B$8*12),E463,"")</f>
      </c>
    </row>
    <row r="465" ht="22" customHeight="1" spans="1:7" x14ac:dyDescent="0.25">
      <c r="A465" s="40">
        <f>IF((ROW()-3)&lt;=('首頁'!$B$8*12),ROW()-3,"")</f>
      </c>
      <c r="B465" s="41">
        <f>IF((ROW()-3)&lt;=('首頁'!$B$8*12),C465+D465,"")</f>
      </c>
      <c r="C465" s="42">
        <f>IF((ROW()-3)&lt;=('首頁'!$B$8*12),G465*'首頁'!$B$7/12/100,"")</f>
      </c>
      <c r="D465" s="42">
        <f>IF((ROW()-3)&lt;=('首頁'!$B$8*12),IF(ROW()-3=('首頁'!$B$8*12),G465,MIN(G465,'首頁'!$B$13-C465)),"")</f>
      </c>
      <c r="E465" s="42">
        <f>IF((ROW()-3)&lt;=('首頁'!$B$8*12),G465-D465,"")</f>
      </c>
      <c r="G465" s="39">
        <f>IF((ROW()-3)&lt;=('首頁'!$B$8*12),E464,"")</f>
      </c>
    </row>
    <row r="466" ht="22" customHeight="1" spans="1:7" x14ac:dyDescent="0.25">
      <c r="A466" s="36">
        <f>IF((ROW()-3)&lt;=('首頁'!$B$8*12),ROW()-3,"")</f>
      </c>
      <c r="B466" s="37">
        <f>IF((ROW()-3)&lt;=('首頁'!$B$8*12),C466+D466,"")</f>
      </c>
      <c r="C466" s="38">
        <f>IF((ROW()-3)&lt;=('首頁'!$B$8*12),G466*'首頁'!$B$7/12/100,"")</f>
      </c>
      <c r="D466" s="38">
        <f>IF((ROW()-3)&lt;=('首頁'!$B$8*12),IF(ROW()-3=('首頁'!$B$8*12),G466,MIN(G466,'首頁'!$B$13-C466)),"")</f>
      </c>
      <c r="E466" s="38">
        <f>IF((ROW()-3)&lt;=('首頁'!$B$8*12),G466-D466,"")</f>
      </c>
      <c r="G466" s="39">
        <f>IF((ROW()-3)&lt;=('首頁'!$B$8*12),E465,"")</f>
      </c>
    </row>
    <row r="467" ht="22" customHeight="1" spans="1:7" x14ac:dyDescent="0.25">
      <c r="A467" s="40">
        <f>IF((ROW()-3)&lt;=('首頁'!$B$8*12),ROW()-3,"")</f>
      </c>
      <c r="B467" s="41">
        <f>IF((ROW()-3)&lt;=('首頁'!$B$8*12),C467+D467,"")</f>
      </c>
      <c r="C467" s="42">
        <f>IF((ROW()-3)&lt;=('首頁'!$B$8*12),G467*'首頁'!$B$7/12/100,"")</f>
      </c>
      <c r="D467" s="42">
        <f>IF((ROW()-3)&lt;=('首頁'!$B$8*12),IF(ROW()-3=('首頁'!$B$8*12),G467,MIN(G467,'首頁'!$B$13-C467)),"")</f>
      </c>
      <c r="E467" s="42">
        <f>IF((ROW()-3)&lt;=('首頁'!$B$8*12),G467-D467,"")</f>
      </c>
      <c r="G467" s="39">
        <f>IF((ROW()-3)&lt;=('首頁'!$B$8*12),E466,"")</f>
      </c>
    </row>
    <row r="468" ht="22" customHeight="1" spans="1:7" x14ac:dyDescent="0.25">
      <c r="A468" s="36">
        <f>IF((ROW()-3)&lt;=('首頁'!$B$8*12),ROW()-3,"")</f>
      </c>
      <c r="B468" s="37">
        <f>IF((ROW()-3)&lt;=('首頁'!$B$8*12),C468+D468,"")</f>
      </c>
      <c r="C468" s="38">
        <f>IF((ROW()-3)&lt;=('首頁'!$B$8*12),G468*'首頁'!$B$7/12/100,"")</f>
      </c>
      <c r="D468" s="38">
        <f>IF((ROW()-3)&lt;=('首頁'!$B$8*12),IF(ROW()-3=('首頁'!$B$8*12),G468,MIN(G468,'首頁'!$B$13-C468)),"")</f>
      </c>
      <c r="E468" s="38">
        <f>IF((ROW()-3)&lt;=('首頁'!$B$8*12),G468-D468,"")</f>
      </c>
      <c r="G468" s="39">
        <f>IF((ROW()-3)&lt;=('首頁'!$B$8*12),E467,"")</f>
      </c>
    </row>
    <row r="469" ht="22" customHeight="1" spans="1:7" x14ac:dyDescent="0.25">
      <c r="A469" s="40">
        <f>IF((ROW()-3)&lt;=('首頁'!$B$8*12),ROW()-3,"")</f>
      </c>
      <c r="B469" s="41">
        <f>IF((ROW()-3)&lt;=('首頁'!$B$8*12),C469+D469,"")</f>
      </c>
      <c r="C469" s="42">
        <f>IF((ROW()-3)&lt;=('首頁'!$B$8*12),G469*'首頁'!$B$7/12/100,"")</f>
      </c>
      <c r="D469" s="42">
        <f>IF((ROW()-3)&lt;=('首頁'!$B$8*12),IF(ROW()-3=('首頁'!$B$8*12),G469,MIN(G469,'首頁'!$B$13-C469)),"")</f>
      </c>
      <c r="E469" s="42">
        <f>IF((ROW()-3)&lt;=('首頁'!$B$8*12),G469-D469,"")</f>
      </c>
      <c r="G469" s="39">
        <f>IF((ROW()-3)&lt;=('首頁'!$B$8*12),E468,"")</f>
      </c>
    </row>
    <row r="470" ht="22" customHeight="1" spans="1:7" x14ac:dyDescent="0.25">
      <c r="A470" s="36">
        <f>IF((ROW()-3)&lt;=('首頁'!$B$8*12),ROW()-3,"")</f>
      </c>
      <c r="B470" s="37">
        <f>IF((ROW()-3)&lt;=('首頁'!$B$8*12),C470+D470,"")</f>
      </c>
      <c r="C470" s="38">
        <f>IF((ROW()-3)&lt;=('首頁'!$B$8*12),G470*'首頁'!$B$7/12/100,"")</f>
      </c>
      <c r="D470" s="38">
        <f>IF((ROW()-3)&lt;=('首頁'!$B$8*12),IF(ROW()-3=('首頁'!$B$8*12),G470,MIN(G470,'首頁'!$B$13-C470)),"")</f>
      </c>
      <c r="E470" s="38">
        <f>IF((ROW()-3)&lt;=('首頁'!$B$8*12),G470-D470,"")</f>
      </c>
      <c r="G470" s="39">
        <f>IF((ROW()-3)&lt;=('首頁'!$B$8*12),E469,"")</f>
      </c>
    </row>
    <row r="471" ht="22" customHeight="1" spans="1:7" x14ac:dyDescent="0.25">
      <c r="A471" s="40">
        <f>IF((ROW()-3)&lt;=('首頁'!$B$8*12),ROW()-3,"")</f>
      </c>
      <c r="B471" s="41">
        <f>IF((ROW()-3)&lt;=('首頁'!$B$8*12),C471+D471,"")</f>
      </c>
      <c r="C471" s="42">
        <f>IF((ROW()-3)&lt;=('首頁'!$B$8*12),G471*'首頁'!$B$7/12/100,"")</f>
      </c>
      <c r="D471" s="42">
        <f>IF((ROW()-3)&lt;=('首頁'!$B$8*12),IF(ROW()-3=('首頁'!$B$8*12),G471,MIN(G471,'首頁'!$B$13-C471)),"")</f>
      </c>
      <c r="E471" s="42">
        <f>IF((ROW()-3)&lt;=('首頁'!$B$8*12),G471-D471,"")</f>
      </c>
      <c r="G471" s="39">
        <f>IF((ROW()-3)&lt;=('首頁'!$B$8*12),E470,"")</f>
      </c>
    </row>
    <row r="472" ht="22" customHeight="1" spans="1:7" x14ac:dyDescent="0.25">
      <c r="A472" s="36">
        <f>IF((ROW()-3)&lt;=('首頁'!$B$8*12),ROW()-3,"")</f>
      </c>
      <c r="B472" s="37">
        <f>IF((ROW()-3)&lt;=('首頁'!$B$8*12),C472+D472,"")</f>
      </c>
      <c r="C472" s="38">
        <f>IF((ROW()-3)&lt;=('首頁'!$B$8*12),G472*'首頁'!$B$7/12/100,"")</f>
      </c>
      <c r="D472" s="38">
        <f>IF((ROW()-3)&lt;=('首頁'!$B$8*12),IF(ROW()-3=('首頁'!$B$8*12),G472,MIN(G472,'首頁'!$B$13-C472)),"")</f>
      </c>
      <c r="E472" s="38">
        <f>IF((ROW()-3)&lt;=('首頁'!$B$8*12),G472-D472,"")</f>
      </c>
      <c r="G472" s="39">
        <f>IF((ROW()-3)&lt;=('首頁'!$B$8*12),E471,"")</f>
      </c>
    </row>
    <row r="473" ht="22" customHeight="1" spans="1:7" x14ac:dyDescent="0.25">
      <c r="A473" s="40">
        <f>IF((ROW()-3)&lt;=('首頁'!$B$8*12),ROW()-3,"")</f>
      </c>
      <c r="B473" s="41">
        <f>IF((ROW()-3)&lt;=('首頁'!$B$8*12),C473+D473,"")</f>
      </c>
      <c r="C473" s="42">
        <f>IF((ROW()-3)&lt;=('首頁'!$B$8*12),G473*'首頁'!$B$7/12/100,"")</f>
      </c>
      <c r="D473" s="42">
        <f>IF((ROW()-3)&lt;=('首頁'!$B$8*12),IF(ROW()-3=('首頁'!$B$8*12),G473,MIN(G473,'首頁'!$B$13-C473)),"")</f>
      </c>
      <c r="E473" s="42">
        <f>IF((ROW()-3)&lt;=('首頁'!$B$8*12),G473-D473,"")</f>
      </c>
      <c r="G473" s="39">
        <f>IF((ROW()-3)&lt;=('首頁'!$B$8*12),E472,"")</f>
      </c>
    </row>
    <row r="474" ht="22" customHeight="1" spans="1:7" x14ac:dyDescent="0.25">
      <c r="A474" s="36">
        <f>IF((ROW()-3)&lt;=('首頁'!$B$8*12),ROW()-3,"")</f>
      </c>
      <c r="B474" s="37">
        <f>IF((ROW()-3)&lt;=('首頁'!$B$8*12),C474+D474,"")</f>
      </c>
      <c r="C474" s="38">
        <f>IF((ROW()-3)&lt;=('首頁'!$B$8*12),G474*'首頁'!$B$7/12/100,"")</f>
      </c>
      <c r="D474" s="38">
        <f>IF((ROW()-3)&lt;=('首頁'!$B$8*12),IF(ROW()-3=('首頁'!$B$8*12),G474,MIN(G474,'首頁'!$B$13-C474)),"")</f>
      </c>
      <c r="E474" s="38">
        <f>IF((ROW()-3)&lt;=('首頁'!$B$8*12),G474-D474,"")</f>
      </c>
      <c r="G474" s="39">
        <f>IF((ROW()-3)&lt;=('首頁'!$B$8*12),E473,"")</f>
      </c>
    </row>
    <row r="475" ht="22" customHeight="1" spans="1:7" x14ac:dyDescent="0.25">
      <c r="A475" s="40">
        <f>IF((ROW()-3)&lt;=('首頁'!$B$8*12),ROW()-3,"")</f>
      </c>
      <c r="B475" s="41">
        <f>IF((ROW()-3)&lt;=('首頁'!$B$8*12),C475+D475,"")</f>
      </c>
      <c r="C475" s="42">
        <f>IF((ROW()-3)&lt;=('首頁'!$B$8*12),G475*'首頁'!$B$7/12/100,"")</f>
      </c>
      <c r="D475" s="42">
        <f>IF((ROW()-3)&lt;=('首頁'!$B$8*12),IF(ROW()-3=('首頁'!$B$8*12),G475,MIN(G475,'首頁'!$B$13-C475)),"")</f>
      </c>
      <c r="E475" s="42">
        <f>IF((ROW()-3)&lt;=('首頁'!$B$8*12),G475-D475,"")</f>
      </c>
      <c r="G475" s="39">
        <f>IF((ROW()-3)&lt;=('首頁'!$B$8*12),E474,"")</f>
      </c>
    </row>
    <row r="476" ht="22" customHeight="1" spans="1:7" x14ac:dyDescent="0.25">
      <c r="A476" s="36">
        <f>IF((ROW()-3)&lt;=('首頁'!$B$8*12),ROW()-3,"")</f>
      </c>
      <c r="B476" s="37">
        <f>IF((ROW()-3)&lt;=('首頁'!$B$8*12),C476+D476,"")</f>
      </c>
      <c r="C476" s="38">
        <f>IF((ROW()-3)&lt;=('首頁'!$B$8*12),G476*'首頁'!$B$7/12/100,"")</f>
      </c>
      <c r="D476" s="38">
        <f>IF((ROW()-3)&lt;=('首頁'!$B$8*12),IF(ROW()-3=('首頁'!$B$8*12),G476,MIN(G476,'首頁'!$B$13-C476)),"")</f>
      </c>
      <c r="E476" s="38">
        <f>IF((ROW()-3)&lt;=('首頁'!$B$8*12),G476-D476,"")</f>
      </c>
      <c r="G476" s="39">
        <f>IF((ROW()-3)&lt;=('首頁'!$B$8*12),E475,"")</f>
      </c>
    </row>
    <row r="477" ht="22" customHeight="1" spans="1:7" x14ac:dyDescent="0.25">
      <c r="A477" s="40">
        <f>IF((ROW()-3)&lt;=('首頁'!$B$8*12),ROW()-3,"")</f>
      </c>
      <c r="B477" s="41">
        <f>IF((ROW()-3)&lt;=('首頁'!$B$8*12),C477+D477,"")</f>
      </c>
      <c r="C477" s="42">
        <f>IF((ROW()-3)&lt;=('首頁'!$B$8*12),G477*'首頁'!$B$7/12/100,"")</f>
      </c>
      <c r="D477" s="42">
        <f>IF((ROW()-3)&lt;=('首頁'!$B$8*12),IF(ROW()-3=('首頁'!$B$8*12),G477,MIN(G477,'首頁'!$B$13-C477)),"")</f>
      </c>
      <c r="E477" s="42">
        <f>IF((ROW()-3)&lt;=('首頁'!$B$8*12),G477-D477,"")</f>
      </c>
      <c r="G477" s="39">
        <f>IF((ROW()-3)&lt;=('首頁'!$B$8*12),E476,"")</f>
      </c>
    </row>
    <row r="478" ht="22" customHeight="1" spans="1:7" x14ac:dyDescent="0.25">
      <c r="A478" s="36">
        <f>IF((ROW()-3)&lt;=('首頁'!$B$8*12),ROW()-3,"")</f>
      </c>
      <c r="B478" s="37">
        <f>IF((ROW()-3)&lt;=('首頁'!$B$8*12),C478+D478,"")</f>
      </c>
      <c r="C478" s="38">
        <f>IF((ROW()-3)&lt;=('首頁'!$B$8*12),G478*'首頁'!$B$7/12/100,"")</f>
      </c>
      <c r="D478" s="38">
        <f>IF((ROW()-3)&lt;=('首頁'!$B$8*12),IF(ROW()-3=('首頁'!$B$8*12),G478,MIN(G478,'首頁'!$B$13-C478)),"")</f>
      </c>
      <c r="E478" s="38">
        <f>IF((ROW()-3)&lt;=('首頁'!$B$8*12),G478-D478,"")</f>
      </c>
      <c r="G478" s="39">
        <f>IF((ROW()-3)&lt;=('首頁'!$B$8*12),E477,"")</f>
      </c>
    </row>
    <row r="479" ht="22" customHeight="1" spans="1:7" x14ac:dyDescent="0.25">
      <c r="A479" s="40">
        <f>IF((ROW()-3)&lt;=('首頁'!$B$8*12),ROW()-3,"")</f>
      </c>
      <c r="B479" s="41">
        <f>IF((ROW()-3)&lt;=('首頁'!$B$8*12),C479+D479,"")</f>
      </c>
      <c r="C479" s="42">
        <f>IF((ROW()-3)&lt;=('首頁'!$B$8*12),G479*'首頁'!$B$7/12/100,"")</f>
      </c>
      <c r="D479" s="42">
        <f>IF((ROW()-3)&lt;=('首頁'!$B$8*12),IF(ROW()-3=('首頁'!$B$8*12),G479,MIN(G479,'首頁'!$B$13-C479)),"")</f>
      </c>
      <c r="E479" s="42">
        <f>IF((ROW()-3)&lt;=('首頁'!$B$8*12),G479-D479,"")</f>
      </c>
      <c r="G479" s="39">
        <f>IF((ROW()-3)&lt;=('首頁'!$B$8*12),E478,"")</f>
      </c>
    </row>
    <row r="480" ht="22" customHeight="1" spans="1:7" x14ac:dyDescent="0.25">
      <c r="A480" s="36">
        <f>IF((ROW()-3)&lt;=('首頁'!$B$8*12),ROW()-3,"")</f>
      </c>
      <c r="B480" s="37">
        <f>IF((ROW()-3)&lt;=('首頁'!$B$8*12),C480+D480,"")</f>
      </c>
      <c r="C480" s="38">
        <f>IF((ROW()-3)&lt;=('首頁'!$B$8*12),G480*'首頁'!$B$7/12/100,"")</f>
      </c>
      <c r="D480" s="38">
        <f>IF((ROW()-3)&lt;=('首頁'!$B$8*12),IF(ROW()-3=('首頁'!$B$8*12),G480,MIN(G480,'首頁'!$B$13-C480)),"")</f>
      </c>
      <c r="E480" s="38">
        <f>IF((ROW()-3)&lt;=('首頁'!$B$8*12),G480-D480,"")</f>
      </c>
      <c r="G480" s="39">
        <f>IF((ROW()-3)&lt;=('首頁'!$B$8*12),E479,"")</f>
      </c>
    </row>
    <row r="481" ht="22" customHeight="1" spans="1:7" x14ac:dyDescent="0.25">
      <c r="A481" s="40">
        <f>IF((ROW()-3)&lt;=('首頁'!$B$8*12),ROW()-3,"")</f>
      </c>
      <c r="B481" s="41">
        <f>IF((ROW()-3)&lt;=('首頁'!$B$8*12),C481+D481,"")</f>
      </c>
      <c r="C481" s="42">
        <f>IF((ROW()-3)&lt;=('首頁'!$B$8*12),G481*'首頁'!$B$7/12/100,"")</f>
      </c>
      <c r="D481" s="42">
        <f>IF((ROW()-3)&lt;=('首頁'!$B$8*12),IF(ROW()-3=('首頁'!$B$8*12),G481,MIN(G481,'首頁'!$B$13-C481)),"")</f>
      </c>
      <c r="E481" s="42">
        <f>IF((ROW()-3)&lt;=('首頁'!$B$8*12),G481-D481,"")</f>
      </c>
      <c r="G481" s="39">
        <f>IF((ROW()-3)&lt;=('首頁'!$B$8*12),E480,"")</f>
      </c>
    </row>
    <row r="482" ht="22" customHeight="1" spans="1:7" x14ac:dyDescent="0.25">
      <c r="A482" s="36">
        <f>IF((ROW()-3)&lt;=('首頁'!$B$8*12),ROW()-3,"")</f>
      </c>
      <c r="B482" s="37">
        <f>IF((ROW()-3)&lt;=('首頁'!$B$8*12),C482+D482,"")</f>
      </c>
      <c r="C482" s="38">
        <f>IF((ROW()-3)&lt;=('首頁'!$B$8*12),G482*'首頁'!$B$7/12/100,"")</f>
      </c>
      <c r="D482" s="38">
        <f>IF((ROW()-3)&lt;=('首頁'!$B$8*12),IF(ROW()-3=('首頁'!$B$8*12),G482,MIN(G482,'首頁'!$B$13-C482)),"")</f>
      </c>
      <c r="E482" s="38">
        <f>IF((ROW()-3)&lt;=('首頁'!$B$8*12),G482-D482,"")</f>
      </c>
      <c r="G482" s="39">
        <f>IF((ROW()-3)&lt;=('首頁'!$B$8*12),E481,"")</f>
      </c>
    </row>
    <row r="483" ht="22" customHeight="1" spans="1:7" x14ac:dyDescent="0.25">
      <c r="A483" s="40">
        <f>IF((ROW()-3)&lt;=('首頁'!$B$8*12),ROW()-3,"")</f>
      </c>
      <c r="B483" s="41">
        <f>IF((ROW()-3)&lt;=('首頁'!$B$8*12),C483+D483,"")</f>
      </c>
      <c r="C483" s="42">
        <f>IF((ROW()-3)&lt;=('首頁'!$B$8*12),G483*'首頁'!$B$7/12/100,"")</f>
      </c>
      <c r="D483" s="42">
        <f>IF((ROW()-3)&lt;=('首頁'!$B$8*12),IF(ROW()-3=('首頁'!$B$8*12),G483,MIN(G483,'首頁'!$B$13-C483)),"")</f>
      </c>
      <c r="E483" s="42">
        <f>IF((ROW()-3)&lt;=('首頁'!$B$8*12),G483-D483,"")</f>
      </c>
      <c r="G483" s="39">
        <f>IF((ROW()-3)&lt;=('首頁'!$B$8*12),E482,"")</f>
      </c>
    </row>
    <row r="484" ht="22" customHeight="1" spans="1:7" x14ac:dyDescent="0.25">
      <c r="A484" s="36">
        <f>IF((ROW()-3)&lt;=('首頁'!$B$8*12),ROW()-3,"")</f>
      </c>
      <c r="B484" s="37">
        <f>IF((ROW()-3)&lt;=('首頁'!$B$8*12),C484+D484,"")</f>
      </c>
      <c r="C484" s="38">
        <f>IF((ROW()-3)&lt;=('首頁'!$B$8*12),G484*'首頁'!$B$7/12/100,"")</f>
      </c>
      <c r="D484" s="38">
        <f>IF((ROW()-3)&lt;=('首頁'!$B$8*12),IF(ROW()-3=('首頁'!$B$8*12),G484,MIN(G484,'首頁'!$B$13-C484)),"")</f>
      </c>
      <c r="E484" s="38">
        <f>IF((ROW()-3)&lt;=('首頁'!$B$8*12),G484-D484,"")</f>
      </c>
      <c r="G484" s="39">
        <f>IF((ROW()-3)&lt;=('首頁'!$B$8*12),E483,"")</f>
      </c>
    </row>
    <row r="485" ht="22" customHeight="1" spans="1:7" x14ac:dyDescent="0.25">
      <c r="A485" s="40">
        <f>IF((ROW()-3)&lt;=('首頁'!$B$8*12),ROW()-3,"")</f>
      </c>
      <c r="B485" s="41">
        <f>IF((ROW()-3)&lt;=('首頁'!$B$8*12),C485+D485,"")</f>
      </c>
      <c r="C485" s="42">
        <f>IF((ROW()-3)&lt;=('首頁'!$B$8*12),G485*'首頁'!$B$7/12/100,"")</f>
      </c>
      <c r="D485" s="42">
        <f>IF((ROW()-3)&lt;=('首頁'!$B$8*12),IF(ROW()-3=('首頁'!$B$8*12),G485,MIN(G485,'首頁'!$B$13-C485)),"")</f>
      </c>
      <c r="E485" s="42">
        <f>IF((ROW()-3)&lt;=('首頁'!$B$8*12),G485-D485,"")</f>
      </c>
      <c r="G485" s="39">
        <f>IF((ROW()-3)&lt;=('首頁'!$B$8*12),E484,"")</f>
      </c>
    </row>
    <row r="486" ht="22" customHeight="1" spans="1:7" x14ac:dyDescent="0.25">
      <c r="A486" s="36">
        <f>IF((ROW()-3)&lt;=('首頁'!$B$8*12),ROW()-3,"")</f>
      </c>
      <c r="B486" s="37">
        <f>IF((ROW()-3)&lt;=('首頁'!$B$8*12),C486+D486,"")</f>
      </c>
      <c r="C486" s="38">
        <f>IF((ROW()-3)&lt;=('首頁'!$B$8*12),G486*'首頁'!$B$7/12/100,"")</f>
      </c>
      <c r="D486" s="38">
        <f>IF((ROW()-3)&lt;=('首頁'!$B$8*12),IF(ROW()-3=('首頁'!$B$8*12),G486,MIN(G486,'首頁'!$B$13-C486)),"")</f>
      </c>
      <c r="E486" s="38">
        <f>IF((ROW()-3)&lt;=('首頁'!$B$8*12),G486-D486,"")</f>
      </c>
      <c r="G486" s="39">
        <f>IF((ROW()-3)&lt;=('首頁'!$B$8*12),E485,"")</f>
      </c>
    </row>
    <row r="487" ht="22" customHeight="1" spans="1:7" x14ac:dyDescent="0.25">
      <c r="A487" s="40">
        <f>IF((ROW()-3)&lt;=('首頁'!$B$8*12),ROW()-3,"")</f>
      </c>
      <c r="B487" s="41">
        <f>IF((ROW()-3)&lt;=('首頁'!$B$8*12),C487+D487,"")</f>
      </c>
      <c r="C487" s="42">
        <f>IF((ROW()-3)&lt;=('首頁'!$B$8*12),G487*'首頁'!$B$7/12/100,"")</f>
      </c>
      <c r="D487" s="42">
        <f>IF((ROW()-3)&lt;=('首頁'!$B$8*12),IF(ROW()-3=('首頁'!$B$8*12),G487,MIN(G487,'首頁'!$B$13-C487)),"")</f>
      </c>
      <c r="E487" s="42">
        <f>IF((ROW()-3)&lt;=('首頁'!$B$8*12),G487-D487,"")</f>
      </c>
      <c r="G487" s="39">
        <f>IF((ROW()-3)&lt;=('首頁'!$B$8*12),E486,"")</f>
      </c>
    </row>
    <row r="488" ht="22" customHeight="1" spans="1:7" x14ac:dyDescent="0.25">
      <c r="A488" s="36">
        <f>IF((ROW()-3)&lt;=('首頁'!$B$8*12),ROW()-3,"")</f>
      </c>
      <c r="B488" s="37">
        <f>IF((ROW()-3)&lt;=('首頁'!$B$8*12),C488+D488,"")</f>
      </c>
      <c r="C488" s="38">
        <f>IF((ROW()-3)&lt;=('首頁'!$B$8*12),G488*'首頁'!$B$7/12/100,"")</f>
      </c>
      <c r="D488" s="38">
        <f>IF((ROW()-3)&lt;=('首頁'!$B$8*12),IF(ROW()-3=('首頁'!$B$8*12),G488,MIN(G488,'首頁'!$B$13-C488)),"")</f>
      </c>
      <c r="E488" s="38">
        <f>IF((ROW()-3)&lt;=('首頁'!$B$8*12),G488-D488,"")</f>
      </c>
      <c r="G488" s="39">
        <f>IF((ROW()-3)&lt;=('首頁'!$B$8*12),E487,"")</f>
      </c>
    </row>
    <row r="489" ht="22" customHeight="1" spans="1:7" x14ac:dyDescent="0.25">
      <c r="A489" s="40">
        <f>IF((ROW()-3)&lt;=('首頁'!$B$8*12),ROW()-3,"")</f>
      </c>
      <c r="B489" s="41">
        <f>IF((ROW()-3)&lt;=('首頁'!$B$8*12),C489+D489,"")</f>
      </c>
      <c r="C489" s="42">
        <f>IF((ROW()-3)&lt;=('首頁'!$B$8*12),G489*'首頁'!$B$7/12/100,"")</f>
      </c>
      <c r="D489" s="42">
        <f>IF((ROW()-3)&lt;=('首頁'!$B$8*12),IF(ROW()-3=('首頁'!$B$8*12),G489,MIN(G489,'首頁'!$B$13-C489)),"")</f>
      </c>
      <c r="E489" s="42">
        <f>IF((ROW()-3)&lt;=('首頁'!$B$8*12),G489-D489,"")</f>
      </c>
      <c r="G489" s="39">
        <f>IF((ROW()-3)&lt;=('首頁'!$B$8*12),E488,"")</f>
      </c>
    </row>
    <row r="490" ht="22" customHeight="1" spans="1:7" x14ac:dyDescent="0.25">
      <c r="A490" s="36">
        <f>IF((ROW()-3)&lt;=('首頁'!$B$8*12),ROW()-3,"")</f>
      </c>
      <c r="B490" s="37">
        <f>IF((ROW()-3)&lt;=('首頁'!$B$8*12),C490+D490,"")</f>
      </c>
      <c r="C490" s="38">
        <f>IF((ROW()-3)&lt;=('首頁'!$B$8*12),G490*'首頁'!$B$7/12/100,"")</f>
      </c>
      <c r="D490" s="38">
        <f>IF((ROW()-3)&lt;=('首頁'!$B$8*12),IF(ROW()-3=('首頁'!$B$8*12),G490,MIN(G490,'首頁'!$B$13-C490)),"")</f>
      </c>
      <c r="E490" s="38">
        <f>IF((ROW()-3)&lt;=('首頁'!$B$8*12),G490-D490,"")</f>
      </c>
      <c r="G490" s="39">
        <f>IF((ROW()-3)&lt;=('首頁'!$B$8*12),E489,"")</f>
      </c>
    </row>
    <row r="491" ht="22" customHeight="1" spans="1:7" x14ac:dyDescent="0.25">
      <c r="A491" s="40">
        <f>IF((ROW()-3)&lt;=('首頁'!$B$8*12),ROW()-3,"")</f>
      </c>
      <c r="B491" s="41">
        <f>IF((ROW()-3)&lt;=('首頁'!$B$8*12),C491+D491,"")</f>
      </c>
      <c r="C491" s="42">
        <f>IF((ROW()-3)&lt;=('首頁'!$B$8*12),G491*'首頁'!$B$7/12/100,"")</f>
      </c>
      <c r="D491" s="42">
        <f>IF((ROW()-3)&lt;=('首頁'!$B$8*12),IF(ROW()-3=('首頁'!$B$8*12),G491,MIN(G491,'首頁'!$B$13-C491)),"")</f>
      </c>
      <c r="E491" s="42">
        <f>IF((ROW()-3)&lt;=('首頁'!$B$8*12),G491-D491,"")</f>
      </c>
      <c r="G491" s="39">
        <f>IF((ROW()-3)&lt;=('首頁'!$B$8*12),E490,"")</f>
      </c>
    </row>
    <row r="492" ht="22" customHeight="1" spans="1:7" x14ac:dyDescent="0.25">
      <c r="A492" s="36">
        <f>IF((ROW()-3)&lt;=('首頁'!$B$8*12),ROW()-3,"")</f>
      </c>
      <c r="B492" s="37">
        <f>IF((ROW()-3)&lt;=('首頁'!$B$8*12),C492+D492,"")</f>
      </c>
      <c r="C492" s="38">
        <f>IF((ROW()-3)&lt;=('首頁'!$B$8*12),G492*'首頁'!$B$7/12/100,"")</f>
      </c>
      <c r="D492" s="38">
        <f>IF((ROW()-3)&lt;=('首頁'!$B$8*12),IF(ROW()-3=('首頁'!$B$8*12),G492,MIN(G492,'首頁'!$B$13-C492)),"")</f>
      </c>
      <c r="E492" s="38">
        <f>IF((ROW()-3)&lt;=('首頁'!$B$8*12),G492-D492,"")</f>
      </c>
      <c r="G492" s="39">
        <f>IF((ROW()-3)&lt;=('首頁'!$B$8*12),E491,"")</f>
      </c>
    </row>
    <row r="493" ht="22" customHeight="1" spans="1:7" x14ac:dyDescent="0.25">
      <c r="A493" s="40">
        <f>IF((ROW()-3)&lt;=('首頁'!$B$8*12),ROW()-3,"")</f>
      </c>
      <c r="B493" s="41">
        <f>IF((ROW()-3)&lt;=('首頁'!$B$8*12),C493+D493,"")</f>
      </c>
      <c r="C493" s="42">
        <f>IF((ROW()-3)&lt;=('首頁'!$B$8*12),G493*'首頁'!$B$7/12/100,"")</f>
      </c>
      <c r="D493" s="42">
        <f>IF((ROW()-3)&lt;=('首頁'!$B$8*12),IF(ROW()-3=('首頁'!$B$8*12),G493,MIN(G493,'首頁'!$B$13-C493)),"")</f>
      </c>
      <c r="E493" s="42">
        <f>IF((ROW()-3)&lt;=('首頁'!$B$8*12),G493-D493,"")</f>
      </c>
      <c r="G493" s="39">
        <f>IF((ROW()-3)&lt;=('首頁'!$B$8*12),E492,"")</f>
      </c>
    </row>
    <row r="494" ht="22" customHeight="1" spans="1:7" x14ac:dyDescent="0.25">
      <c r="A494" s="36">
        <f>IF((ROW()-3)&lt;=('首頁'!$B$8*12),ROW()-3,"")</f>
      </c>
      <c r="B494" s="37">
        <f>IF((ROW()-3)&lt;=('首頁'!$B$8*12),C494+D494,"")</f>
      </c>
      <c r="C494" s="38">
        <f>IF((ROW()-3)&lt;=('首頁'!$B$8*12),G494*'首頁'!$B$7/12/100,"")</f>
      </c>
      <c r="D494" s="38">
        <f>IF((ROW()-3)&lt;=('首頁'!$B$8*12),IF(ROW()-3=('首頁'!$B$8*12),G494,MIN(G494,'首頁'!$B$13-C494)),"")</f>
      </c>
      <c r="E494" s="38">
        <f>IF((ROW()-3)&lt;=('首頁'!$B$8*12),G494-D494,"")</f>
      </c>
      <c r="G494" s="39">
        <f>IF((ROW()-3)&lt;=('首頁'!$B$8*12),E493,"")</f>
      </c>
    </row>
    <row r="495" ht="22" customHeight="1" spans="1:7" x14ac:dyDescent="0.25">
      <c r="A495" s="40">
        <f>IF((ROW()-3)&lt;=('首頁'!$B$8*12),ROW()-3,"")</f>
      </c>
      <c r="B495" s="41">
        <f>IF((ROW()-3)&lt;=('首頁'!$B$8*12),C495+D495,"")</f>
      </c>
      <c r="C495" s="42">
        <f>IF((ROW()-3)&lt;=('首頁'!$B$8*12),G495*'首頁'!$B$7/12/100,"")</f>
      </c>
      <c r="D495" s="42">
        <f>IF((ROW()-3)&lt;=('首頁'!$B$8*12),IF(ROW()-3=('首頁'!$B$8*12),G495,MIN(G495,'首頁'!$B$13-C495)),"")</f>
      </c>
      <c r="E495" s="42">
        <f>IF((ROW()-3)&lt;=('首頁'!$B$8*12),G495-D495,"")</f>
      </c>
      <c r="G495" s="39">
        <f>IF((ROW()-3)&lt;=('首頁'!$B$8*12),E494,"")</f>
      </c>
    </row>
    <row r="496" ht="22" customHeight="1" spans="1:7" x14ac:dyDescent="0.25">
      <c r="A496" s="36">
        <f>IF((ROW()-3)&lt;=('首頁'!$B$8*12),ROW()-3,"")</f>
      </c>
      <c r="B496" s="37">
        <f>IF((ROW()-3)&lt;=('首頁'!$B$8*12),C496+D496,"")</f>
      </c>
      <c r="C496" s="38">
        <f>IF((ROW()-3)&lt;=('首頁'!$B$8*12),G496*'首頁'!$B$7/12/100,"")</f>
      </c>
      <c r="D496" s="38">
        <f>IF((ROW()-3)&lt;=('首頁'!$B$8*12),IF(ROW()-3=('首頁'!$B$8*12),G496,MIN(G496,'首頁'!$B$13-C496)),"")</f>
      </c>
      <c r="E496" s="38">
        <f>IF((ROW()-3)&lt;=('首頁'!$B$8*12),G496-D496,"")</f>
      </c>
      <c r="G496" s="39">
        <f>IF((ROW()-3)&lt;=('首頁'!$B$8*12),E495,"")</f>
      </c>
    </row>
    <row r="497" ht="22" customHeight="1" spans="1:7" x14ac:dyDescent="0.25">
      <c r="A497" s="40">
        <f>IF((ROW()-3)&lt;=('首頁'!$B$8*12),ROW()-3,"")</f>
      </c>
      <c r="B497" s="41">
        <f>IF((ROW()-3)&lt;=('首頁'!$B$8*12),C497+D497,"")</f>
      </c>
      <c r="C497" s="42">
        <f>IF((ROW()-3)&lt;=('首頁'!$B$8*12),G497*'首頁'!$B$7/12/100,"")</f>
      </c>
      <c r="D497" s="42">
        <f>IF((ROW()-3)&lt;=('首頁'!$B$8*12),IF(ROW()-3=('首頁'!$B$8*12),G497,MIN(G497,'首頁'!$B$13-C497)),"")</f>
      </c>
      <c r="E497" s="42">
        <f>IF((ROW()-3)&lt;=('首頁'!$B$8*12),G497-D497,"")</f>
      </c>
      <c r="G497" s="39">
        <f>IF((ROW()-3)&lt;=('首頁'!$B$8*12),E496,"")</f>
      </c>
    </row>
    <row r="498" ht="22" customHeight="1" spans="1:7" x14ac:dyDescent="0.25">
      <c r="A498" s="36">
        <f>IF((ROW()-3)&lt;=('首頁'!$B$8*12),ROW()-3,"")</f>
      </c>
      <c r="B498" s="37">
        <f>IF((ROW()-3)&lt;=('首頁'!$B$8*12),C498+D498,"")</f>
      </c>
      <c r="C498" s="38">
        <f>IF((ROW()-3)&lt;=('首頁'!$B$8*12),G498*'首頁'!$B$7/12/100,"")</f>
      </c>
      <c r="D498" s="38">
        <f>IF((ROW()-3)&lt;=('首頁'!$B$8*12),IF(ROW()-3=('首頁'!$B$8*12),G498,MIN(G498,'首頁'!$B$13-C498)),"")</f>
      </c>
      <c r="E498" s="38">
        <f>IF((ROW()-3)&lt;=('首頁'!$B$8*12),G498-D498,"")</f>
      </c>
      <c r="G498" s="39">
        <f>IF((ROW()-3)&lt;=('首頁'!$B$8*12),E497,"")</f>
      </c>
    </row>
    <row r="499" ht="22" customHeight="1" spans="1:7" x14ac:dyDescent="0.25">
      <c r="A499" s="40">
        <f>IF((ROW()-3)&lt;=('首頁'!$B$8*12),ROW()-3,"")</f>
      </c>
      <c r="B499" s="41">
        <f>IF((ROW()-3)&lt;=('首頁'!$B$8*12),C499+D499,"")</f>
      </c>
      <c r="C499" s="42">
        <f>IF((ROW()-3)&lt;=('首頁'!$B$8*12),G499*'首頁'!$B$7/12/100,"")</f>
      </c>
      <c r="D499" s="42">
        <f>IF((ROW()-3)&lt;=('首頁'!$B$8*12),IF(ROW()-3=('首頁'!$B$8*12),G499,MIN(G499,'首頁'!$B$13-C499)),"")</f>
      </c>
      <c r="E499" s="42">
        <f>IF((ROW()-3)&lt;=('首頁'!$B$8*12),G499-D499,"")</f>
      </c>
      <c r="G499" s="39">
        <f>IF((ROW()-3)&lt;=('首頁'!$B$8*12),E498,"")</f>
      </c>
    </row>
    <row r="500" ht="22" customHeight="1" spans="1:7" x14ac:dyDescent="0.25">
      <c r="A500" s="36">
        <f>IF((ROW()-3)&lt;=('首頁'!$B$8*12),ROW()-3,"")</f>
      </c>
      <c r="B500" s="37">
        <f>IF((ROW()-3)&lt;=('首頁'!$B$8*12),C500+D500,"")</f>
      </c>
      <c r="C500" s="38">
        <f>IF((ROW()-3)&lt;=('首頁'!$B$8*12),G500*'首頁'!$B$7/12/100,"")</f>
      </c>
      <c r="D500" s="38">
        <f>IF((ROW()-3)&lt;=('首頁'!$B$8*12),IF(ROW()-3=('首頁'!$B$8*12),G500,MIN(G500,'首頁'!$B$13-C500)),"")</f>
      </c>
      <c r="E500" s="38">
        <f>IF((ROW()-3)&lt;=('首頁'!$B$8*12),G500-D500,"")</f>
      </c>
      <c r="G500" s="39">
        <f>IF((ROW()-3)&lt;=('首頁'!$B$8*12),E499,"")</f>
      </c>
    </row>
    <row r="501" ht="22" customHeight="1" spans="1:7" x14ac:dyDescent="0.25">
      <c r="A501" s="40">
        <f>IF((ROW()-3)&lt;=('首頁'!$B$8*12),ROW()-3,"")</f>
      </c>
      <c r="B501" s="41">
        <f>IF((ROW()-3)&lt;=('首頁'!$B$8*12),C501+D501,"")</f>
      </c>
      <c r="C501" s="42">
        <f>IF((ROW()-3)&lt;=('首頁'!$B$8*12),G501*'首頁'!$B$7/12/100,"")</f>
      </c>
      <c r="D501" s="42">
        <f>IF((ROW()-3)&lt;=('首頁'!$B$8*12),IF(ROW()-3=('首頁'!$B$8*12),G501,MIN(G501,'首頁'!$B$13-C501)),"")</f>
      </c>
      <c r="E501" s="42">
        <f>IF((ROW()-3)&lt;=('首頁'!$B$8*12),G501-D501,"")</f>
      </c>
      <c r="G501" s="39">
        <f>IF((ROW()-3)&lt;=('首頁'!$B$8*12),E500,"")</f>
      </c>
    </row>
    <row r="502" ht="22" customHeight="1" spans="1:7" x14ac:dyDescent="0.25">
      <c r="A502" s="36">
        <f>IF((ROW()-3)&lt;=('首頁'!$B$8*12),ROW()-3,"")</f>
      </c>
      <c r="B502" s="37">
        <f>IF((ROW()-3)&lt;=('首頁'!$B$8*12),C502+D502,"")</f>
      </c>
      <c r="C502" s="38">
        <f>IF((ROW()-3)&lt;=('首頁'!$B$8*12),G502*'首頁'!$B$7/12/100,"")</f>
      </c>
      <c r="D502" s="38">
        <f>IF((ROW()-3)&lt;=('首頁'!$B$8*12),IF(ROW()-3=('首頁'!$B$8*12),G502,MIN(G502,'首頁'!$B$13-C502)),"")</f>
      </c>
      <c r="E502" s="38">
        <f>IF((ROW()-3)&lt;=('首頁'!$B$8*12),G502-D502,"")</f>
      </c>
      <c r="G502" s="39">
        <f>IF((ROW()-3)&lt;=('首頁'!$B$8*12),E501,"")</f>
      </c>
    </row>
    <row r="503" ht="22" customHeight="1" spans="1:7" x14ac:dyDescent="0.25">
      <c r="A503" s="40">
        <f>IF((ROW()-3)&lt;=('首頁'!$B$8*12),ROW()-3,"")</f>
      </c>
      <c r="B503" s="41">
        <f>IF((ROW()-3)&lt;=('首頁'!$B$8*12),C503+D503,"")</f>
      </c>
      <c r="C503" s="42">
        <f>IF((ROW()-3)&lt;=('首頁'!$B$8*12),G503*'首頁'!$B$7/12/100,"")</f>
      </c>
      <c r="D503" s="42">
        <f>IF((ROW()-3)&lt;=('首頁'!$B$8*12),IF(ROW()-3=('首頁'!$B$8*12),G503,MIN(G503,'首頁'!$B$13-C503)),"")</f>
      </c>
      <c r="E503" s="42">
        <f>IF((ROW()-3)&lt;=('首頁'!$B$8*12),G503-D503,"")</f>
      </c>
      <c r="G503" s="39">
        <f>IF((ROW()-3)&lt;=('首頁'!$B$8*12),E502,"")</f>
      </c>
    </row>
    <row r="504" ht="22" customHeight="1" spans="1:7" x14ac:dyDescent="0.25">
      <c r="A504" s="36">
        <f>IF((ROW()-3)&lt;=('首頁'!$B$8*12),ROW()-3,"")</f>
      </c>
      <c r="B504" s="37">
        <f>IF((ROW()-3)&lt;=('首頁'!$B$8*12),C504+D504,"")</f>
      </c>
      <c r="C504" s="38">
        <f>IF((ROW()-3)&lt;=('首頁'!$B$8*12),G504*'首頁'!$B$7/12/100,"")</f>
      </c>
      <c r="D504" s="38">
        <f>IF((ROW()-3)&lt;=('首頁'!$B$8*12),IF(ROW()-3=('首頁'!$B$8*12),G504,MIN(G504,'首頁'!$B$13-C504)),"")</f>
      </c>
      <c r="E504" s="38">
        <f>IF((ROW()-3)&lt;=('首頁'!$B$8*12),G504-D504,"")</f>
      </c>
      <c r="G504" s="39">
        <f>IF((ROW()-3)&lt;=('首頁'!$B$8*12),E503,"")</f>
      </c>
    </row>
    <row r="505" ht="22" customHeight="1" spans="1:7" x14ac:dyDescent="0.25">
      <c r="A505" s="40">
        <f>IF((ROW()-3)&lt;=('首頁'!$B$8*12),ROW()-3,"")</f>
      </c>
      <c r="B505" s="41">
        <f>IF((ROW()-3)&lt;=('首頁'!$B$8*12),C505+D505,"")</f>
      </c>
      <c r="C505" s="42">
        <f>IF((ROW()-3)&lt;=('首頁'!$B$8*12),G505*'首頁'!$B$7/12/100,"")</f>
      </c>
      <c r="D505" s="42">
        <f>IF((ROW()-3)&lt;=('首頁'!$B$8*12),IF(ROW()-3=('首頁'!$B$8*12),G505,MIN(G505,'首頁'!$B$13-C505)),"")</f>
      </c>
      <c r="E505" s="42">
        <f>IF((ROW()-3)&lt;=('首頁'!$B$8*12),G505-D505,"")</f>
      </c>
      <c r="G505" s="39">
        <f>IF((ROW()-3)&lt;=('首頁'!$B$8*12),E504,"")</f>
      </c>
    </row>
    <row r="506" ht="22" customHeight="1" spans="1:7" x14ac:dyDescent="0.25">
      <c r="A506" s="36">
        <f>IF((ROW()-3)&lt;=('首頁'!$B$8*12),ROW()-3,"")</f>
      </c>
      <c r="B506" s="37">
        <f>IF((ROW()-3)&lt;=('首頁'!$B$8*12),C506+D506,"")</f>
      </c>
      <c r="C506" s="38">
        <f>IF((ROW()-3)&lt;=('首頁'!$B$8*12),G506*'首頁'!$B$7/12/100,"")</f>
      </c>
      <c r="D506" s="38">
        <f>IF((ROW()-3)&lt;=('首頁'!$B$8*12),IF(ROW()-3=('首頁'!$B$8*12),G506,MIN(G506,'首頁'!$B$13-C506)),"")</f>
      </c>
      <c r="E506" s="38">
        <f>IF((ROW()-3)&lt;=('首頁'!$B$8*12),G506-D506,"")</f>
      </c>
      <c r="G506" s="39">
        <f>IF((ROW()-3)&lt;=('首頁'!$B$8*12),E505,"")</f>
      </c>
    </row>
    <row r="507" ht="22" customHeight="1" spans="1:7" x14ac:dyDescent="0.25">
      <c r="A507" s="40">
        <f>IF((ROW()-3)&lt;=('首頁'!$B$8*12),ROW()-3,"")</f>
      </c>
      <c r="B507" s="41">
        <f>IF((ROW()-3)&lt;=('首頁'!$B$8*12),C507+D507,"")</f>
      </c>
      <c r="C507" s="42">
        <f>IF((ROW()-3)&lt;=('首頁'!$B$8*12),G507*'首頁'!$B$7/12/100,"")</f>
      </c>
      <c r="D507" s="42">
        <f>IF((ROW()-3)&lt;=('首頁'!$B$8*12),IF(ROW()-3=('首頁'!$B$8*12),G507,MIN(G507,'首頁'!$B$13-C507)),"")</f>
      </c>
      <c r="E507" s="42">
        <f>IF((ROW()-3)&lt;=('首頁'!$B$8*12),G507-D507,"")</f>
      </c>
      <c r="G507" s="39">
        <f>IF((ROW()-3)&lt;=('首頁'!$B$8*12),E506,"")</f>
      </c>
    </row>
    <row r="508" ht="22" customHeight="1" spans="1:7" x14ac:dyDescent="0.25">
      <c r="A508" s="36">
        <f>IF((ROW()-3)&lt;=('首頁'!$B$8*12),ROW()-3,"")</f>
      </c>
      <c r="B508" s="37">
        <f>IF((ROW()-3)&lt;=('首頁'!$B$8*12),C508+D508,"")</f>
      </c>
      <c r="C508" s="38">
        <f>IF((ROW()-3)&lt;=('首頁'!$B$8*12),G508*'首頁'!$B$7/12/100,"")</f>
      </c>
      <c r="D508" s="38">
        <f>IF((ROW()-3)&lt;=('首頁'!$B$8*12),IF(ROW()-3=('首頁'!$B$8*12),G508,MIN(G508,'首頁'!$B$13-C508)),"")</f>
      </c>
      <c r="E508" s="38">
        <f>IF((ROW()-3)&lt;=('首頁'!$B$8*12),G508-D508,"")</f>
      </c>
      <c r="G508" s="39">
        <f>IF((ROW()-3)&lt;=('首頁'!$B$8*12),E507,"")</f>
      </c>
    </row>
    <row r="509" ht="22" customHeight="1" spans="1:7" x14ac:dyDescent="0.25">
      <c r="A509" s="40">
        <f>IF((ROW()-3)&lt;=('首頁'!$B$8*12),ROW()-3,"")</f>
      </c>
      <c r="B509" s="41">
        <f>IF((ROW()-3)&lt;=('首頁'!$B$8*12),C509+D509,"")</f>
      </c>
      <c r="C509" s="42">
        <f>IF((ROW()-3)&lt;=('首頁'!$B$8*12),G509*'首頁'!$B$7/12/100,"")</f>
      </c>
      <c r="D509" s="42">
        <f>IF((ROW()-3)&lt;=('首頁'!$B$8*12),IF(ROW()-3=('首頁'!$B$8*12),G509,MIN(G509,'首頁'!$B$13-C509)),"")</f>
      </c>
      <c r="E509" s="42">
        <f>IF((ROW()-3)&lt;=('首頁'!$B$8*12),G509-D509,"")</f>
      </c>
      <c r="G509" s="39">
        <f>IF((ROW()-3)&lt;=('首頁'!$B$8*12),E508,"")</f>
      </c>
    </row>
    <row r="510" ht="22" customHeight="1" spans="1:7" x14ac:dyDescent="0.25">
      <c r="A510" s="36">
        <f>IF((ROW()-3)&lt;=('首頁'!$B$8*12),ROW()-3,"")</f>
      </c>
      <c r="B510" s="37">
        <f>IF((ROW()-3)&lt;=('首頁'!$B$8*12),C510+D510,"")</f>
      </c>
      <c r="C510" s="38">
        <f>IF((ROW()-3)&lt;=('首頁'!$B$8*12),G510*'首頁'!$B$7/12/100,"")</f>
      </c>
      <c r="D510" s="38">
        <f>IF((ROW()-3)&lt;=('首頁'!$B$8*12),IF(ROW()-3=('首頁'!$B$8*12),G510,MIN(G510,'首頁'!$B$13-C510)),"")</f>
      </c>
      <c r="E510" s="38">
        <f>IF((ROW()-3)&lt;=('首頁'!$B$8*12),G510-D510,"")</f>
      </c>
      <c r="G510" s="39">
        <f>IF((ROW()-3)&lt;=('首頁'!$B$8*12),E509,"")</f>
      </c>
    </row>
    <row r="511" ht="22" customHeight="1" spans="1:7" x14ac:dyDescent="0.25">
      <c r="A511" s="40">
        <f>IF((ROW()-3)&lt;=('首頁'!$B$8*12),ROW()-3,"")</f>
      </c>
      <c r="B511" s="41">
        <f>IF((ROW()-3)&lt;=('首頁'!$B$8*12),C511+D511,"")</f>
      </c>
      <c r="C511" s="42">
        <f>IF((ROW()-3)&lt;=('首頁'!$B$8*12),G511*'首頁'!$B$7/12/100,"")</f>
      </c>
      <c r="D511" s="42">
        <f>IF((ROW()-3)&lt;=('首頁'!$B$8*12),IF(ROW()-3=('首頁'!$B$8*12),G511,MIN(G511,'首頁'!$B$13-C511)),"")</f>
      </c>
      <c r="E511" s="42">
        <f>IF((ROW()-3)&lt;=('首頁'!$B$8*12),G511-D511,"")</f>
      </c>
      <c r="G511" s="39">
        <f>IF((ROW()-3)&lt;=('首頁'!$B$8*12),E510,"")</f>
      </c>
    </row>
    <row r="512" ht="22" customHeight="1" spans="1:7" x14ac:dyDescent="0.25">
      <c r="A512" s="36">
        <f>IF((ROW()-3)&lt;=('首頁'!$B$8*12),ROW()-3,"")</f>
      </c>
      <c r="B512" s="37">
        <f>IF((ROW()-3)&lt;=('首頁'!$B$8*12),C512+D512,"")</f>
      </c>
      <c r="C512" s="38">
        <f>IF((ROW()-3)&lt;=('首頁'!$B$8*12),G512*'首頁'!$B$7/12/100,"")</f>
      </c>
      <c r="D512" s="38">
        <f>IF((ROW()-3)&lt;=('首頁'!$B$8*12),IF(ROW()-3=('首頁'!$B$8*12),G512,MIN(G512,'首頁'!$B$13-C512)),"")</f>
      </c>
      <c r="E512" s="38">
        <f>IF((ROW()-3)&lt;=('首頁'!$B$8*12),G512-D512,"")</f>
      </c>
      <c r="G512" s="39">
        <f>IF((ROW()-3)&lt;=('首頁'!$B$8*12),E511,"")</f>
      </c>
    </row>
    <row r="513" ht="22" customHeight="1" spans="1:7" x14ac:dyDescent="0.25">
      <c r="A513" s="40">
        <f>IF((ROW()-3)&lt;=('首頁'!$B$8*12),ROW()-3,"")</f>
      </c>
      <c r="B513" s="41">
        <f>IF((ROW()-3)&lt;=('首頁'!$B$8*12),C513+D513,"")</f>
      </c>
      <c r="C513" s="42">
        <f>IF((ROW()-3)&lt;=('首頁'!$B$8*12),G513*'首頁'!$B$7/12/100,"")</f>
      </c>
      <c r="D513" s="42">
        <f>IF((ROW()-3)&lt;=('首頁'!$B$8*12),IF(ROW()-3=('首頁'!$B$8*12),G513,MIN(G513,'首頁'!$B$13-C513)),"")</f>
      </c>
      <c r="E513" s="42">
        <f>IF((ROW()-3)&lt;=('首頁'!$B$8*12),G513-D513,"")</f>
      </c>
      <c r="G513" s="39">
        <f>IF((ROW()-3)&lt;=('首頁'!$B$8*12),E512,"")</f>
      </c>
    </row>
    <row r="514" ht="22" customHeight="1" spans="1:7" x14ac:dyDescent="0.25">
      <c r="A514" s="36">
        <f>IF((ROW()-3)&lt;=('首頁'!$B$8*12),ROW()-3,"")</f>
      </c>
      <c r="B514" s="37">
        <f>IF((ROW()-3)&lt;=('首頁'!$B$8*12),C514+D514,"")</f>
      </c>
      <c r="C514" s="38">
        <f>IF((ROW()-3)&lt;=('首頁'!$B$8*12),G514*'首頁'!$B$7/12/100,"")</f>
      </c>
      <c r="D514" s="38">
        <f>IF((ROW()-3)&lt;=('首頁'!$B$8*12),IF(ROW()-3=('首頁'!$B$8*12),G514,MIN(G514,'首頁'!$B$13-C514)),"")</f>
      </c>
      <c r="E514" s="38">
        <f>IF((ROW()-3)&lt;=('首頁'!$B$8*12),G514-D514,"")</f>
      </c>
      <c r="G514" s="39">
        <f>IF((ROW()-3)&lt;=('首頁'!$B$8*12),E513,"")</f>
      </c>
    </row>
    <row r="515" ht="22" customHeight="1" spans="1:7" x14ac:dyDescent="0.25">
      <c r="A515" s="40">
        <f>IF((ROW()-3)&lt;=('首頁'!$B$8*12),ROW()-3,"")</f>
      </c>
      <c r="B515" s="41">
        <f>IF((ROW()-3)&lt;=('首頁'!$B$8*12),C515+D515,"")</f>
      </c>
      <c r="C515" s="42">
        <f>IF((ROW()-3)&lt;=('首頁'!$B$8*12),G515*'首頁'!$B$7/12/100,"")</f>
      </c>
      <c r="D515" s="42">
        <f>IF((ROW()-3)&lt;=('首頁'!$B$8*12),IF(ROW()-3=('首頁'!$B$8*12),G515,MIN(G515,'首頁'!$B$13-C515)),"")</f>
      </c>
      <c r="E515" s="42">
        <f>IF((ROW()-3)&lt;=('首頁'!$B$8*12),G515-D515,"")</f>
      </c>
      <c r="G515" s="39">
        <f>IF((ROW()-3)&lt;=('首頁'!$B$8*12),E514,"")</f>
      </c>
    </row>
    <row r="516" ht="22" customHeight="1" spans="1:7" x14ac:dyDescent="0.25">
      <c r="A516" s="36">
        <f>IF((ROW()-3)&lt;=('首頁'!$B$8*12),ROW()-3,"")</f>
      </c>
      <c r="B516" s="37">
        <f>IF((ROW()-3)&lt;=('首頁'!$B$8*12),C516+D516,"")</f>
      </c>
      <c r="C516" s="38">
        <f>IF((ROW()-3)&lt;=('首頁'!$B$8*12),G516*'首頁'!$B$7/12/100,"")</f>
      </c>
      <c r="D516" s="38">
        <f>IF((ROW()-3)&lt;=('首頁'!$B$8*12),IF(ROW()-3=('首頁'!$B$8*12),G516,MIN(G516,'首頁'!$B$13-C516)),"")</f>
      </c>
      <c r="E516" s="38">
        <f>IF((ROW()-3)&lt;=('首頁'!$B$8*12),G516-D516,"")</f>
      </c>
      <c r="G516" s="39">
        <f>IF((ROW()-3)&lt;=('首頁'!$B$8*12),E515,"")</f>
      </c>
    </row>
    <row r="517" ht="22" customHeight="1" spans="1:7" x14ac:dyDescent="0.25">
      <c r="A517" s="40">
        <f>IF((ROW()-3)&lt;=('首頁'!$B$8*12),ROW()-3,"")</f>
      </c>
      <c r="B517" s="41">
        <f>IF((ROW()-3)&lt;=('首頁'!$B$8*12),C517+D517,"")</f>
      </c>
      <c r="C517" s="42">
        <f>IF((ROW()-3)&lt;=('首頁'!$B$8*12),G517*'首頁'!$B$7/12/100,"")</f>
      </c>
      <c r="D517" s="42">
        <f>IF((ROW()-3)&lt;=('首頁'!$B$8*12),IF(ROW()-3=('首頁'!$B$8*12),G517,MIN(G517,'首頁'!$B$13-C517)),"")</f>
      </c>
      <c r="E517" s="42">
        <f>IF((ROW()-3)&lt;=('首頁'!$B$8*12),G517-D517,"")</f>
      </c>
      <c r="G517" s="39">
        <f>IF((ROW()-3)&lt;=('首頁'!$B$8*12),E516,"")</f>
      </c>
    </row>
    <row r="518" ht="22" customHeight="1" spans="1:7" x14ac:dyDescent="0.25">
      <c r="A518" s="36">
        <f>IF((ROW()-3)&lt;=('首頁'!$B$8*12),ROW()-3,"")</f>
      </c>
      <c r="B518" s="37">
        <f>IF((ROW()-3)&lt;=('首頁'!$B$8*12),C518+D518,"")</f>
      </c>
      <c r="C518" s="38">
        <f>IF((ROW()-3)&lt;=('首頁'!$B$8*12),G518*'首頁'!$B$7/12/100,"")</f>
      </c>
      <c r="D518" s="38">
        <f>IF((ROW()-3)&lt;=('首頁'!$B$8*12),IF(ROW()-3=('首頁'!$B$8*12),G518,MIN(G518,'首頁'!$B$13-C518)),"")</f>
      </c>
      <c r="E518" s="38">
        <f>IF((ROW()-3)&lt;=('首頁'!$B$8*12),G518-D518,"")</f>
      </c>
      <c r="G518" s="39">
        <f>IF((ROW()-3)&lt;=('首頁'!$B$8*12),E517,"")</f>
      </c>
    </row>
    <row r="519" ht="22" customHeight="1" spans="1:7" x14ac:dyDescent="0.25">
      <c r="A519" s="40">
        <f>IF((ROW()-3)&lt;=('首頁'!$B$8*12),ROW()-3,"")</f>
      </c>
      <c r="B519" s="41">
        <f>IF((ROW()-3)&lt;=('首頁'!$B$8*12),C519+D519,"")</f>
      </c>
      <c r="C519" s="42">
        <f>IF((ROW()-3)&lt;=('首頁'!$B$8*12),G519*'首頁'!$B$7/12/100,"")</f>
      </c>
      <c r="D519" s="42">
        <f>IF((ROW()-3)&lt;=('首頁'!$B$8*12),IF(ROW()-3=('首頁'!$B$8*12),G519,MIN(G519,'首頁'!$B$13-C519)),"")</f>
      </c>
      <c r="E519" s="42">
        <f>IF((ROW()-3)&lt;=('首頁'!$B$8*12),G519-D519,"")</f>
      </c>
      <c r="G519" s="39">
        <f>IF((ROW()-3)&lt;=('首頁'!$B$8*12),E518,"")</f>
      </c>
    </row>
    <row r="520" ht="22" customHeight="1" spans="1:7" x14ac:dyDescent="0.25">
      <c r="A520" s="36">
        <f>IF((ROW()-3)&lt;=('首頁'!$B$8*12),ROW()-3,"")</f>
      </c>
      <c r="B520" s="37">
        <f>IF((ROW()-3)&lt;=('首頁'!$B$8*12),C520+D520,"")</f>
      </c>
      <c r="C520" s="38">
        <f>IF((ROW()-3)&lt;=('首頁'!$B$8*12),G520*'首頁'!$B$7/12/100,"")</f>
      </c>
      <c r="D520" s="38">
        <f>IF((ROW()-3)&lt;=('首頁'!$B$8*12),IF(ROW()-3=('首頁'!$B$8*12),G520,MIN(G520,'首頁'!$B$13-C520)),"")</f>
      </c>
      <c r="E520" s="38">
        <f>IF((ROW()-3)&lt;=('首頁'!$B$8*12),G520-D520,"")</f>
      </c>
      <c r="G520" s="39">
        <f>IF((ROW()-3)&lt;=('首頁'!$B$8*12),E519,"")</f>
      </c>
    </row>
    <row r="521" ht="22" customHeight="1" spans="1:7" x14ac:dyDescent="0.25">
      <c r="A521" s="40">
        <f>IF((ROW()-3)&lt;=('首頁'!$B$8*12),ROW()-3,"")</f>
      </c>
      <c r="B521" s="41">
        <f>IF((ROW()-3)&lt;=('首頁'!$B$8*12),C521+D521,"")</f>
      </c>
      <c r="C521" s="42">
        <f>IF((ROW()-3)&lt;=('首頁'!$B$8*12),G521*'首頁'!$B$7/12/100,"")</f>
      </c>
      <c r="D521" s="42">
        <f>IF((ROW()-3)&lt;=('首頁'!$B$8*12),IF(ROW()-3=('首頁'!$B$8*12),G521,MIN(G521,'首頁'!$B$13-C521)),"")</f>
      </c>
      <c r="E521" s="42">
        <f>IF((ROW()-3)&lt;=('首頁'!$B$8*12),G521-D521,"")</f>
      </c>
      <c r="G521" s="39">
        <f>IF((ROW()-3)&lt;=('首頁'!$B$8*12),E520,"")</f>
      </c>
    </row>
    <row r="522" ht="22" customHeight="1" spans="1:7" x14ac:dyDescent="0.25">
      <c r="A522" s="36">
        <f>IF((ROW()-3)&lt;=('首頁'!$B$8*12),ROW()-3,"")</f>
      </c>
      <c r="B522" s="37">
        <f>IF((ROW()-3)&lt;=('首頁'!$B$8*12),C522+D522,"")</f>
      </c>
      <c r="C522" s="38">
        <f>IF((ROW()-3)&lt;=('首頁'!$B$8*12),G522*'首頁'!$B$7/12/100,"")</f>
      </c>
      <c r="D522" s="38">
        <f>IF((ROW()-3)&lt;=('首頁'!$B$8*12),IF(ROW()-3=('首頁'!$B$8*12),G522,MIN(G522,'首頁'!$B$13-C522)),"")</f>
      </c>
      <c r="E522" s="38">
        <f>IF((ROW()-3)&lt;=('首頁'!$B$8*12),G522-D522,"")</f>
      </c>
      <c r="G522" s="39">
        <f>IF((ROW()-3)&lt;=('首頁'!$B$8*12),E521,"")</f>
      </c>
    </row>
    <row r="523" ht="22" customHeight="1" spans="1:7" x14ac:dyDescent="0.25">
      <c r="A523" s="40">
        <f>IF((ROW()-3)&lt;=('首頁'!$B$8*12),ROW()-3,"")</f>
      </c>
      <c r="B523" s="41">
        <f>IF((ROW()-3)&lt;=('首頁'!$B$8*12),C523+D523,"")</f>
      </c>
      <c r="C523" s="42">
        <f>IF((ROW()-3)&lt;=('首頁'!$B$8*12),G523*'首頁'!$B$7/12/100,"")</f>
      </c>
      <c r="D523" s="42">
        <f>IF((ROW()-3)&lt;=('首頁'!$B$8*12),IF(ROW()-3=('首頁'!$B$8*12),G523,MIN(G523,'首頁'!$B$13-C523)),"")</f>
      </c>
      <c r="E523" s="42">
        <f>IF((ROW()-3)&lt;=('首頁'!$B$8*12),G523-D523,"")</f>
      </c>
      <c r="G523" s="39">
        <f>IF((ROW()-3)&lt;=('首頁'!$B$8*12),E522,"")</f>
      </c>
    </row>
    <row r="524" ht="22" customHeight="1" spans="1:7" x14ac:dyDescent="0.25">
      <c r="A524" s="36">
        <f>IF((ROW()-3)&lt;=('首頁'!$B$8*12),ROW()-3,"")</f>
      </c>
      <c r="B524" s="37">
        <f>IF((ROW()-3)&lt;=('首頁'!$B$8*12),C524+D524,"")</f>
      </c>
      <c r="C524" s="38">
        <f>IF((ROW()-3)&lt;=('首頁'!$B$8*12),G524*'首頁'!$B$7/12/100,"")</f>
      </c>
      <c r="D524" s="38">
        <f>IF((ROW()-3)&lt;=('首頁'!$B$8*12),IF(ROW()-3=('首頁'!$B$8*12),G524,MIN(G524,'首頁'!$B$13-C524)),"")</f>
      </c>
      <c r="E524" s="38">
        <f>IF((ROW()-3)&lt;=('首頁'!$B$8*12),G524-D524,"")</f>
      </c>
      <c r="G524" s="39">
        <f>IF((ROW()-3)&lt;=('首頁'!$B$8*12),E523,"")</f>
      </c>
    </row>
    <row r="525" ht="22" customHeight="1" spans="1:7" x14ac:dyDescent="0.25">
      <c r="A525" s="40">
        <f>IF((ROW()-3)&lt;=('首頁'!$B$8*12),ROW()-3,"")</f>
      </c>
      <c r="B525" s="41">
        <f>IF((ROW()-3)&lt;=('首頁'!$B$8*12),C525+D525,"")</f>
      </c>
      <c r="C525" s="42">
        <f>IF((ROW()-3)&lt;=('首頁'!$B$8*12),G525*'首頁'!$B$7/12/100,"")</f>
      </c>
      <c r="D525" s="42">
        <f>IF((ROW()-3)&lt;=('首頁'!$B$8*12),IF(ROW()-3=('首頁'!$B$8*12),G525,MIN(G525,'首頁'!$B$13-C525)),"")</f>
      </c>
      <c r="E525" s="42">
        <f>IF((ROW()-3)&lt;=('首頁'!$B$8*12),G525-D525,"")</f>
      </c>
      <c r="G525" s="39">
        <f>IF((ROW()-3)&lt;=('首頁'!$B$8*12),E524,"")</f>
      </c>
    </row>
    <row r="526" ht="22" customHeight="1" spans="1:7" x14ac:dyDescent="0.25">
      <c r="A526" s="36">
        <f>IF((ROW()-3)&lt;=('首頁'!$B$8*12),ROW()-3,"")</f>
      </c>
      <c r="B526" s="37">
        <f>IF((ROW()-3)&lt;=('首頁'!$B$8*12),C526+D526,"")</f>
      </c>
      <c r="C526" s="38">
        <f>IF((ROW()-3)&lt;=('首頁'!$B$8*12),G526*'首頁'!$B$7/12/100,"")</f>
      </c>
      <c r="D526" s="38">
        <f>IF((ROW()-3)&lt;=('首頁'!$B$8*12),IF(ROW()-3=('首頁'!$B$8*12),G526,MIN(G526,'首頁'!$B$13-C526)),"")</f>
      </c>
      <c r="E526" s="38">
        <f>IF((ROW()-3)&lt;=('首頁'!$B$8*12),G526-D526,"")</f>
      </c>
      <c r="G526" s="39">
        <f>IF((ROW()-3)&lt;=('首頁'!$B$8*12),E525,"")</f>
      </c>
    </row>
    <row r="527" ht="22" customHeight="1" spans="1:7" x14ac:dyDescent="0.25">
      <c r="A527" s="40">
        <f>IF((ROW()-3)&lt;=('首頁'!$B$8*12),ROW()-3,"")</f>
      </c>
      <c r="B527" s="41">
        <f>IF((ROW()-3)&lt;=('首頁'!$B$8*12),C527+D527,"")</f>
      </c>
      <c r="C527" s="42">
        <f>IF((ROW()-3)&lt;=('首頁'!$B$8*12),G527*'首頁'!$B$7/12/100,"")</f>
      </c>
      <c r="D527" s="42">
        <f>IF((ROW()-3)&lt;=('首頁'!$B$8*12),IF(ROW()-3=('首頁'!$B$8*12),G527,MIN(G527,'首頁'!$B$13-C527)),"")</f>
      </c>
      <c r="E527" s="42">
        <f>IF((ROW()-3)&lt;=('首頁'!$B$8*12),G527-D527,"")</f>
      </c>
      <c r="G527" s="39">
        <f>IF((ROW()-3)&lt;=('首頁'!$B$8*12),E526,"")</f>
      </c>
    </row>
    <row r="528" ht="22" customHeight="1" spans="1:7" x14ac:dyDescent="0.25">
      <c r="A528" s="36">
        <f>IF((ROW()-3)&lt;=('首頁'!$B$8*12),ROW()-3,"")</f>
      </c>
      <c r="B528" s="37">
        <f>IF((ROW()-3)&lt;=('首頁'!$B$8*12),C528+D528,"")</f>
      </c>
      <c r="C528" s="38">
        <f>IF((ROW()-3)&lt;=('首頁'!$B$8*12),G528*'首頁'!$B$7/12/100,"")</f>
      </c>
      <c r="D528" s="38">
        <f>IF((ROW()-3)&lt;=('首頁'!$B$8*12),IF(ROW()-3=('首頁'!$B$8*12),G528,MIN(G528,'首頁'!$B$13-C528)),"")</f>
      </c>
      <c r="E528" s="38">
        <f>IF((ROW()-3)&lt;=('首頁'!$B$8*12),G528-D528,"")</f>
      </c>
      <c r="G528" s="39">
        <f>IF((ROW()-3)&lt;=('首頁'!$B$8*12),E527,"")</f>
      </c>
    </row>
    <row r="529" ht="22" customHeight="1" spans="1:7" x14ac:dyDescent="0.25">
      <c r="A529" s="40">
        <f>IF((ROW()-3)&lt;=('首頁'!$B$8*12),ROW()-3,"")</f>
      </c>
      <c r="B529" s="41">
        <f>IF((ROW()-3)&lt;=('首頁'!$B$8*12),C529+D529,"")</f>
      </c>
      <c r="C529" s="42">
        <f>IF((ROW()-3)&lt;=('首頁'!$B$8*12),G529*'首頁'!$B$7/12/100,"")</f>
      </c>
      <c r="D529" s="42">
        <f>IF((ROW()-3)&lt;=('首頁'!$B$8*12),IF(ROW()-3=('首頁'!$B$8*12),G529,MIN(G529,'首頁'!$B$13-C529)),"")</f>
      </c>
      <c r="E529" s="42">
        <f>IF((ROW()-3)&lt;=('首頁'!$B$8*12),G529-D529,"")</f>
      </c>
      <c r="G529" s="39">
        <f>IF((ROW()-3)&lt;=('首頁'!$B$8*12),E528,"")</f>
      </c>
    </row>
    <row r="530" ht="22" customHeight="1" spans="1:7" x14ac:dyDescent="0.25">
      <c r="A530" s="36">
        <f>IF((ROW()-3)&lt;=('首頁'!$B$8*12),ROW()-3,"")</f>
      </c>
      <c r="B530" s="37">
        <f>IF((ROW()-3)&lt;=('首頁'!$B$8*12),C530+D530,"")</f>
      </c>
      <c r="C530" s="38">
        <f>IF((ROW()-3)&lt;=('首頁'!$B$8*12),G530*'首頁'!$B$7/12/100,"")</f>
      </c>
      <c r="D530" s="38">
        <f>IF((ROW()-3)&lt;=('首頁'!$B$8*12),IF(ROW()-3=('首頁'!$B$8*12),G530,MIN(G530,'首頁'!$B$13-C530)),"")</f>
      </c>
      <c r="E530" s="38">
        <f>IF((ROW()-3)&lt;=('首頁'!$B$8*12),G530-D530,"")</f>
      </c>
      <c r="G530" s="39">
        <f>IF((ROW()-3)&lt;=('首頁'!$B$8*12),E529,"")</f>
      </c>
    </row>
    <row r="531" ht="22" customHeight="1" spans="1:7" x14ac:dyDescent="0.25">
      <c r="A531" s="40">
        <f>IF((ROW()-3)&lt;=('首頁'!$B$8*12),ROW()-3,"")</f>
      </c>
      <c r="B531" s="41">
        <f>IF((ROW()-3)&lt;=('首頁'!$B$8*12),C531+D531,"")</f>
      </c>
      <c r="C531" s="42">
        <f>IF((ROW()-3)&lt;=('首頁'!$B$8*12),G531*'首頁'!$B$7/12/100,"")</f>
      </c>
      <c r="D531" s="42">
        <f>IF((ROW()-3)&lt;=('首頁'!$B$8*12),IF(ROW()-3=('首頁'!$B$8*12),G531,MIN(G531,'首頁'!$B$13-C531)),"")</f>
      </c>
      <c r="E531" s="42">
        <f>IF((ROW()-3)&lt;=('首頁'!$B$8*12),G531-D531,"")</f>
      </c>
      <c r="G531" s="39">
        <f>IF((ROW()-3)&lt;=('首頁'!$B$8*12),E530,"")</f>
      </c>
    </row>
    <row r="532" ht="22" customHeight="1" spans="1:7" x14ac:dyDescent="0.25">
      <c r="A532" s="36">
        <f>IF((ROW()-3)&lt;=('首頁'!$B$8*12),ROW()-3,"")</f>
      </c>
      <c r="B532" s="37">
        <f>IF((ROW()-3)&lt;=('首頁'!$B$8*12),C532+D532,"")</f>
      </c>
      <c r="C532" s="38">
        <f>IF((ROW()-3)&lt;=('首頁'!$B$8*12),G532*'首頁'!$B$7/12/100,"")</f>
      </c>
      <c r="D532" s="38">
        <f>IF((ROW()-3)&lt;=('首頁'!$B$8*12),IF(ROW()-3=('首頁'!$B$8*12),G532,MIN(G532,'首頁'!$B$13-C532)),"")</f>
      </c>
      <c r="E532" s="38">
        <f>IF((ROW()-3)&lt;=('首頁'!$B$8*12),G532-D532,"")</f>
      </c>
      <c r="G532" s="39">
        <f>IF((ROW()-3)&lt;=('首頁'!$B$8*12),E531,"")</f>
      </c>
    </row>
    <row r="533" ht="22" customHeight="1" spans="1:7" x14ac:dyDescent="0.25">
      <c r="A533" s="40">
        <f>IF((ROW()-3)&lt;=('首頁'!$B$8*12),ROW()-3,"")</f>
      </c>
      <c r="B533" s="41">
        <f>IF((ROW()-3)&lt;=('首頁'!$B$8*12),C533+D533,"")</f>
      </c>
      <c r="C533" s="42">
        <f>IF((ROW()-3)&lt;=('首頁'!$B$8*12),G533*'首頁'!$B$7/12/100,"")</f>
      </c>
      <c r="D533" s="42">
        <f>IF((ROW()-3)&lt;=('首頁'!$B$8*12),IF(ROW()-3=('首頁'!$B$8*12),G533,MIN(G533,'首頁'!$B$13-C533)),"")</f>
      </c>
      <c r="E533" s="42">
        <f>IF((ROW()-3)&lt;=('首頁'!$B$8*12),G533-D533,"")</f>
      </c>
      <c r="G533" s="39">
        <f>IF((ROW()-3)&lt;=('首頁'!$B$8*12),E532,"")</f>
      </c>
    </row>
    <row r="534" ht="22" customHeight="1" spans="1:7" x14ac:dyDescent="0.25">
      <c r="A534" s="36">
        <f>IF((ROW()-3)&lt;=('首頁'!$B$8*12),ROW()-3,"")</f>
      </c>
      <c r="B534" s="37">
        <f>IF((ROW()-3)&lt;=('首頁'!$B$8*12),C534+D534,"")</f>
      </c>
      <c r="C534" s="38">
        <f>IF((ROW()-3)&lt;=('首頁'!$B$8*12),G534*'首頁'!$B$7/12/100,"")</f>
      </c>
      <c r="D534" s="38">
        <f>IF((ROW()-3)&lt;=('首頁'!$B$8*12),IF(ROW()-3=('首頁'!$B$8*12),G534,MIN(G534,'首頁'!$B$13-C534)),"")</f>
      </c>
      <c r="E534" s="38">
        <f>IF((ROW()-3)&lt;=('首頁'!$B$8*12),G534-D534,"")</f>
      </c>
      <c r="G534" s="39">
        <f>IF((ROW()-3)&lt;=('首頁'!$B$8*12),E533,"")</f>
      </c>
    </row>
    <row r="535" ht="22" customHeight="1" spans="1:7" x14ac:dyDescent="0.25">
      <c r="A535" s="40">
        <f>IF((ROW()-3)&lt;=('首頁'!$B$8*12),ROW()-3,"")</f>
      </c>
      <c r="B535" s="41">
        <f>IF((ROW()-3)&lt;=('首頁'!$B$8*12),C535+D535,"")</f>
      </c>
      <c r="C535" s="42">
        <f>IF((ROW()-3)&lt;=('首頁'!$B$8*12),G535*'首頁'!$B$7/12/100,"")</f>
      </c>
      <c r="D535" s="42">
        <f>IF((ROW()-3)&lt;=('首頁'!$B$8*12),IF(ROW()-3=('首頁'!$B$8*12),G535,MIN(G535,'首頁'!$B$13-C535)),"")</f>
      </c>
      <c r="E535" s="42">
        <f>IF((ROW()-3)&lt;=('首頁'!$B$8*12),G535-D535,"")</f>
      </c>
      <c r="G535" s="39">
        <f>IF((ROW()-3)&lt;=('首頁'!$B$8*12),E534,"")</f>
      </c>
    </row>
    <row r="536" ht="22" customHeight="1" spans="1:7" x14ac:dyDescent="0.25">
      <c r="A536" s="36">
        <f>IF((ROW()-3)&lt;=('首頁'!$B$8*12),ROW()-3,"")</f>
      </c>
      <c r="B536" s="37">
        <f>IF((ROW()-3)&lt;=('首頁'!$B$8*12),C536+D536,"")</f>
      </c>
      <c r="C536" s="38">
        <f>IF((ROW()-3)&lt;=('首頁'!$B$8*12),G536*'首頁'!$B$7/12/100,"")</f>
      </c>
      <c r="D536" s="38">
        <f>IF((ROW()-3)&lt;=('首頁'!$B$8*12),IF(ROW()-3=('首頁'!$B$8*12),G536,MIN(G536,'首頁'!$B$13-C536)),"")</f>
      </c>
      <c r="E536" s="38">
        <f>IF((ROW()-3)&lt;=('首頁'!$B$8*12),G536-D536,"")</f>
      </c>
      <c r="G536" s="39">
        <f>IF((ROW()-3)&lt;=('首頁'!$B$8*12),E535,"")</f>
      </c>
    </row>
    <row r="537" ht="22" customHeight="1" spans="1:7" x14ac:dyDescent="0.25">
      <c r="A537" s="40">
        <f>IF((ROW()-3)&lt;=('首頁'!$B$8*12),ROW()-3,"")</f>
      </c>
      <c r="B537" s="41">
        <f>IF((ROW()-3)&lt;=('首頁'!$B$8*12),C537+D537,"")</f>
      </c>
      <c r="C537" s="42">
        <f>IF((ROW()-3)&lt;=('首頁'!$B$8*12),G537*'首頁'!$B$7/12/100,"")</f>
      </c>
      <c r="D537" s="42">
        <f>IF((ROW()-3)&lt;=('首頁'!$B$8*12),IF(ROW()-3=('首頁'!$B$8*12),G537,MIN(G537,'首頁'!$B$13-C537)),"")</f>
      </c>
      <c r="E537" s="42">
        <f>IF((ROW()-3)&lt;=('首頁'!$B$8*12),G537-D537,"")</f>
      </c>
      <c r="G537" s="39">
        <f>IF((ROW()-3)&lt;=('首頁'!$B$8*12),E536,"")</f>
      </c>
    </row>
    <row r="538" ht="22" customHeight="1" spans="1:7" x14ac:dyDescent="0.25">
      <c r="A538" s="36">
        <f>IF((ROW()-3)&lt;=('首頁'!$B$8*12),ROW()-3,"")</f>
      </c>
      <c r="B538" s="37">
        <f>IF((ROW()-3)&lt;=('首頁'!$B$8*12),C538+D538,"")</f>
      </c>
      <c r="C538" s="38">
        <f>IF((ROW()-3)&lt;=('首頁'!$B$8*12),G538*'首頁'!$B$7/12/100,"")</f>
      </c>
      <c r="D538" s="38">
        <f>IF((ROW()-3)&lt;=('首頁'!$B$8*12),IF(ROW()-3=('首頁'!$B$8*12),G538,MIN(G538,'首頁'!$B$13-C538)),"")</f>
      </c>
      <c r="E538" s="38">
        <f>IF((ROW()-3)&lt;=('首頁'!$B$8*12),G538-D538,"")</f>
      </c>
      <c r="G538" s="39">
        <f>IF((ROW()-3)&lt;=('首頁'!$B$8*12),E537,"")</f>
      </c>
    </row>
    <row r="539" ht="22" customHeight="1" spans="1:7" x14ac:dyDescent="0.25">
      <c r="A539" s="40">
        <f>IF((ROW()-3)&lt;=('首頁'!$B$8*12),ROW()-3,"")</f>
      </c>
      <c r="B539" s="41">
        <f>IF((ROW()-3)&lt;=('首頁'!$B$8*12),C539+D539,"")</f>
      </c>
      <c r="C539" s="42">
        <f>IF((ROW()-3)&lt;=('首頁'!$B$8*12),G539*'首頁'!$B$7/12/100,"")</f>
      </c>
      <c r="D539" s="42">
        <f>IF((ROW()-3)&lt;=('首頁'!$B$8*12),IF(ROW()-3=('首頁'!$B$8*12),G539,MIN(G539,'首頁'!$B$13-C539)),"")</f>
      </c>
      <c r="E539" s="42">
        <f>IF((ROW()-3)&lt;=('首頁'!$B$8*12),G539-D539,"")</f>
      </c>
      <c r="G539" s="39">
        <f>IF((ROW()-3)&lt;=('首頁'!$B$8*12),E538,"")</f>
      </c>
    </row>
    <row r="540" ht="22" customHeight="1" spans="1:7" x14ac:dyDescent="0.25">
      <c r="A540" s="36">
        <f>IF((ROW()-3)&lt;=('首頁'!$B$8*12),ROW()-3,"")</f>
      </c>
      <c r="B540" s="37">
        <f>IF((ROW()-3)&lt;=('首頁'!$B$8*12),C540+D540,"")</f>
      </c>
      <c r="C540" s="38">
        <f>IF((ROW()-3)&lt;=('首頁'!$B$8*12),G540*'首頁'!$B$7/12/100,"")</f>
      </c>
      <c r="D540" s="38">
        <f>IF((ROW()-3)&lt;=('首頁'!$B$8*12),IF(ROW()-3=('首頁'!$B$8*12),G540,MIN(G540,'首頁'!$B$13-C540)),"")</f>
      </c>
      <c r="E540" s="38">
        <f>IF((ROW()-3)&lt;=('首頁'!$B$8*12),G540-D540,"")</f>
      </c>
      <c r="G540" s="39">
        <f>IF((ROW()-3)&lt;=('首頁'!$B$8*12),E539,"")</f>
      </c>
    </row>
    <row r="541" ht="22" customHeight="1" spans="1:7" x14ac:dyDescent="0.25">
      <c r="A541" s="40">
        <f>IF((ROW()-3)&lt;=('首頁'!$B$8*12),ROW()-3,"")</f>
      </c>
      <c r="B541" s="41">
        <f>IF((ROW()-3)&lt;=('首頁'!$B$8*12),C541+D541,"")</f>
      </c>
      <c r="C541" s="42">
        <f>IF((ROW()-3)&lt;=('首頁'!$B$8*12),G541*'首頁'!$B$7/12/100,"")</f>
      </c>
      <c r="D541" s="42">
        <f>IF((ROW()-3)&lt;=('首頁'!$B$8*12),IF(ROW()-3=('首頁'!$B$8*12),G541,MIN(G541,'首頁'!$B$13-C541)),"")</f>
      </c>
      <c r="E541" s="42">
        <f>IF((ROW()-3)&lt;=('首頁'!$B$8*12),G541-D541,"")</f>
      </c>
      <c r="G541" s="39">
        <f>IF((ROW()-3)&lt;=('首頁'!$B$8*12),E540,"")</f>
      </c>
    </row>
    <row r="542" ht="22" customHeight="1" spans="1:7" x14ac:dyDescent="0.25">
      <c r="A542" s="36">
        <f>IF((ROW()-3)&lt;=('首頁'!$B$8*12),ROW()-3,"")</f>
      </c>
      <c r="B542" s="37">
        <f>IF((ROW()-3)&lt;=('首頁'!$B$8*12),C542+D542,"")</f>
      </c>
      <c r="C542" s="38">
        <f>IF((ROW()-3)&lt;=('首頁'!$B$8*12),G542*'首頁'!$B$7/12/100,"")</f>
      </c>
      <c r="D542" s="38">
        <f>IF((ROW()-3)&lt;=('首頁'!$B$8*12),IF(ROW()-3=('首頁'!$B$8*12),G542,MIN(G542,'首頁'!$B$13-C542)),"")</f>
      </c>
      <c r="E542" s="38">
        <f>IF((ROW()-3)&lt;=('首頁'!$B$8*12),G542-D542,"")</f>
      </c>
      <c r="G542" s="39">
        <f>IF((ROW()-3)&lt;=('首頁'!$B$8*12),E541,"")</f>
      </c>
    </row>
    <row r="543" ht="22" customHeight="1" spans="1:7" x14ac:dyDescent="0.25">
      <c r="A543" s="40">
        <f>IF((ROW()-3)&lt;=('首頁'!$B$8*12),ROW()-3,"")</f>
      </c>
      <c r="B543" s="41">
        <f>IF((ROW()-3)&lt;=('首頁'!$B$8*12),C543+D543,"")</f>
      </c>
      <c r="C543" s="42">
        <f>IF((ROW()-3)&lt;=('首頁'!$B$8*12),G543*'首頁'!$B$7/12/100,"")</f>
      </c>
      <c r="D543" s="42">
        <f>IF((ROW()-3)&lt;=('首頁'!$B$8*12),IF(ROW()-3=('首頁'!$B$8*12),G543,MIN(G543,'首頁'!$B$13-C543)),"")</f>
      </c>
      <c r="E543" s="42">
        <f>IF((ROW()-3)&lt;=('首頁'!$B$8*12),G543-D543,"")</f>
      </c>
      <c r="G543" s="39">
        <f>IF((ROW()-3)&lt;=('首頁'!$B$8*12),E542,"")</f>
      </c>
    </row>
    <row r="544" ht="22" customHeight="1" spans="1:7" x14ac:dyDescent="0.25">
      <c r="A544" s="36">
        <f>IF((ROW()-3)&lt;=('首頁'!$B$8*12),ROW()-3,"")</f>
      </c>
      <c r="B544" s="37">
        <f>IF((ROW()-3)&lt;=('首頁'!$B$8*12),C544+D544,"")</f>
      </c>
      <c r="C544" s="38">
        <f>IF((ROW()-3)&lt;=('首頁'!$B$8*12),G544*'首頁'!$B$7/12/100,"")</f>
      </c>
      <c r="D544" s="38">
        <f>IF((ROW()-3)&lt;=('首頁'!$B$8*12),IF(ROW()-3=('首頁'!$B$8*12),G544,MIN(G544,'首頁'!$B$13-C544)),"")</f>
      </c>
      <c r="E544" s="38">
        <f>IF((ROW()-3)&lt;=('首頁'!$B$8*12),G544-D544,"")</f>
      </c>
      <c r="G544" s="39">
        <f>IF((ROW()-3)&lt;=('首頁'!$B$8*12),E543,"")</f>
      </c>
    </row>
    <row r="545" ht="22" customHeight="1" spans="1:7" x14ac:dyDescent="0.25">
      <c r="A545" s="40">
        <f>IF((ROW()-3)&lt;=('首頁'!$B$8*12),ROW()-3,"")</f>
      </c>
      <c r="B545" s="41">
        <f>IF((ROW()-3)&lt;=('首頁'!$B$8*12),C545+D545,"")</f>
      </c>
      <c r="C545" s="42">
        <f>IF((ROW()-3)&lt;=('首頁'!$B$8*12),G545*'首頁'!$B$7/12/100,"")</f>
      </c>
      <c r="D545" s="42">
        <f>IF((ROW()-3)&lt;=('首頁'!$B$8*12),IF(ROW()-3=('首頁'!$B$8*12),G545,MIN(G545,'首頁'!$B$13-C545)),"")</f>
      </c>
      <c r="E545" s="42">
        <f>IF((ROW()-3)&lt;=('首頁'!$B$8*12),G545-D545,"")</f>
      </c>
      <c r="G545" s="39">
        <f>IF((ROW()-3)&lt;=('首頁'!$B$8*12),E544,"")</f>
      </c>
    </row>
    <row r="546" ht="22" customHeight="1" spans="1:7" x14ac:dyDescent="0.25">
      <c r="A546" s="36">
        <f>IF((ROW()-3)&lt;=('首頁'!$B$8*12),ROW()-3,"")</f>
      </c>
      <c r="B546" s="37">
        <f>IF((ROW()-3)&lt;=('首頁'!$B$8*12),C546+D546,"")</f>
      </c>
      <c r="C546" s="38">
        <f>IF((ROW()-3)&lt;=('首頁'!$B$8*12),G546*'首頁'!$B$7/12/100,"")</f>
      </c>
      <c r="D546" s="38">
        <f>IF((ROW()-3)&lt;=('首頁'!$B$8*12),IF(ROW()-3=('首頁'!$B$8*12),G546,MIN(G546,'首頁'!$B$13-C546)),"")</f>
      </c>
      <c r="E546" s="38">
        <f>IF((ROW()-3)&lt;=('首頁'!$B$8*12),G546-D546,"")</f>
      </c>
      <c r="G546" s="39">
        <f>IF((ROW()-3)&lt;=('首頁'!$B$8*12),E545,"")</f>
      </c>
    </row>
    <row r="547" ht="22" customHeight="1" spans="1:7" x14ac:dyDescent="0.25">
      <c r="A547" s="40">
        <f>IF((ROW()-3)&lt;=('首頁'!$B$8*12),ROW()-3,"")</f>
      </c>
      <c r="B547" s="41">
        <f>IF((ROW()-3)&lt;=('首頁'!$B$8*12),C547+D547,"")</f>
      </c>
      <c r="C547" s="42">
        <f>IF((ROW()-3)&lt;=('首頁'!$B$8*12),G547*'首頁'!$B$7/12/100,"")</f>
      </c>
      <c r="D547" s="42">
        <f>IF((ROW()-3)&lt;=('首頁'!$B$8*12),IF(ROW()-3=('首頁'!$B$8*12),G547,MIN(G547,'首頁'!$B$13-C547)),"")</f>
      </c>
      <c r="E547" s="42">
        <f>IF((ROW()-3)&lt;=('首頁'!$B$8*12),G547-D547,"")</f>
      </c>
      <c r="G547" s="39">
        <f>IF((ROW()-3)&lt;=('首頁'!$B$8*12),E546,"")</f>
      </c>
    </row>
    <row r="548" ht="22" customHeight="1" spans="1:7" x14ac:dyDescent="0.25">
      <c r="A548" s="36">
        <f>IF((ROW()-3)&lt;=('首頁'!$B$8*12),ROW()-3,"")</f>
      </c>
      <c r="B548" s="37">
        <f>IF((ROW()-3)&lt;=('首頁'!$B$8*12),C548+D548,"")</f>
      </c>
      <c r="C548" s="38">
        <f>IF((ROW()-3)&lt;=('首頁'!$B$8*12),G548*'首頁'!$B$7/12/100,"")</f>
      </c>
      <c r="D548" s="38">
        <f>IF((ROW()-3)&lt;=('首頁'!$B$8*12),IF(ROW()-3=('首頁'!$B$8*12),G548,MIN(G548,'首頁'!$B$13-C548)),"")</f>
      </c>
      <c r="E548" s="38">
        <f>IF((ROW()-3)&lt;=('首頁'!$B$8*12),G548-D548,"")</f>
      </c>
      <c r="G548" s="39">
        <f>IF((ROW()-3)&lt;=('首頁'!$B$8*12),E547,"")</f>
      </c>
    </row>
    <row r="549" ht="22" customHeight="1" spans="1:7" x14ac:dyDescent="0.25">
      <c r="A549" s="40">
        <f>IF((ROW()-3)&lt;=('首頁'!$B$8*12),ROW()-3,"")</f>
      </c>
      <c r="B549" s="41">
        <f>IF((ROW()-3)&lt;=('首頁'!$B$8*12),C549+D549,"")</f>
      </c>
      <c r="C549" s="42">
        <f>IF((ROW()-3)&lt;=('首頁'!$B$8*12),G549*'首頁'!$B$7/12/100,"")</f>
      </c>
      <c r="D549" s="42">
        <f>IF((ROW()-3)&lt;=('首頁'!$B$8*12),IF(ROW()-3=('首頁'!$B$8*12),G549,MIN(G549,'首頁'!$B$13-C549)),"")</f>
      </c>
      <c r="E549" s="42">
        <f>IF((ROW()-3)&lt;=('首頁'!$B$8*12),G549-D549,"")</f>
      </c>
      <c r="G549" s="39">
        <f>IF((ROW()-3)&lt;=('首頁'!$B$8*12),E548,"")</f>
      </c>
    </row>
    <row r="550" ht="22" customHeight="1" spans="1:7" x14ac:dyDescent="0.25">
      <c r="A550" s="36">
        <f>IF((ROW()-3)&lt;=('首頁'!$B$8*12),ROW()-3,"")</f>
      </c>
      <c r="B550" s="37">
        <f>IF((ROW()-3)&lt;=('首頁'!$B$8*12),C550+D550,"")</f>
      </c>
      <c r="C550" s="38">
        <f>IF((ROW()-3)&lt;=('首頁'!$B$8*12),G550*'首頁'!$B$7/12/100,"")</f>
      </c>
      <c r="D550" s="38">
        <f>IF((ROW()-3)&lt;=('首頁'!$B$8*12),IF(ROW()-3=('首頁'!$B$8*12),G550,MIN(G550,'首頁'!$B$13-C550)),"")</f>
      </c>
      <c r="E550" s="38">
        <f>IF((ROW()-3)&lt;=('首頁'!$B$8*12),G550-D550,"")</f>
      </c>
      <c r="G550" s="39">
        <f>IF((ROW()-3)&lt;=('首頁'!$B$8*12),E549,"")</f>
      </c>
    </row>
    <row r="551" ht="22" customHeight="1" spans="1:7" x14ac:dyDescent="0.25">
      <c r="A551" s="40">
        <f>IF((ROW()-3)&lt;=('首頁'!$B$8*12),ROW()-3,"")</f>
      </c>
      <c r="B551" s="41">
        <f>IF((ROW()-3)&lt;=('首頁'!$B$8*12),C551+D551,"")</f>
      </c>
      <c r="C551" s="42">
        <f>IF((ROW()-3)&lt;=('首頁'!$B$8*12),G551*'首頁'!$B$7/12/100,"")</f>
      </c>
      <c r="D551" s="42">
        <f>IF((ROW()-3)&lt;=('首頁'!$B$8*12),IF(ROW()-3=('首頁'!$B$8*12),G551,MIN(G551,'首頁'!$B$13-C551)),"")</f>
      </c>
      <c r="E551" s="42">
        <f>IF((ROW()-3)&lt;=('首頁'!$B$8*12),G551-D551,"")</f>
      </c>
      <c r="G551" s="39">
        <f>IF((ROW()-3)&lt;=('首頁'!$B$8*12),E550,"")</f>
      </c>
    </row>
    <row r="552" ht="22" customHeight="1" spans="1:7" x14ac:dyDescent="0.25">
      <c r="A552" s="36">
        <f>IF((ROW()-3)&lt;=('首頁'!$B$8*12),ROW()-3,"")</f>
      </c>
      <c r="B552" s="37">
        <f>IF((ROW()-3)&lt;=('首頁'!$B$8*12),C552+D552,"")</f>
      </c>
      <c r="C552" s="38">
        <f>IF((ROW()-3)&lt;=('首頁'!$B$8*12),G552*'首頁'!$B$7/12/100,"")</f>
      </c>
      <c r="D552" s="38">
        <f>IF((ROW()-3)&lt;=('首頁'!$B$8*12),IF(ROW()-3=('首頁'!$B$8*12),G552,MIN(G552,'首頁'!$B$13-C552)),"")</f>
      </c>
      <c r="E552" s="38">
        <f>IF((ROW()-3)&lt;=('首頁'!$B$8*12),G552-D552,"")</f>
      </c>
      <c r="G552" s="39">
        <f>IF((ROW()-3)&lt;=('首頁'!$B$8*12),E551,"")</f>
      </c>
    </row>
    <row r="553" ht="22" customHeight="1" spans="1:7" x14ac:dyDescent="0.25">
      <c r="A553" s="40">
        <f>IF((ROW()-3)&lt;=('首頁'!$B$8*12),ROW()-3,"")</f>
      </c>
      <c r="B553" s="41">
        <f>IF((ROW()-3)&lt;=('首頁'!$B$8*12),C553+D553,"")</f>
      </c>
      <c r="C553" s="42">
        <f>IF((ROW()-3)&lt;=('首頁'!$B$8*12),G553*'首頁'!$B$7/12/100,"")</f>
      </c>
      <c r="D553" s="42">
        <f>IF((ROW()-3)&lt;=('首頁'!$B$8*12),IF(ROW()-3=('首頁'!$B$8*12),G553,MIN(G553,'首頁'!$B$13-C553)),"")</f>
      </c>
      <c r="E553" s="42">
        <f>IF((ROW()-3)&lt;=('首頁'!$B$8*12),G553-D553,"")</f>
      </c>
      <c r="G553" s="39">
        <f>IF((ROW()-3)&lt;=('首頁'!$B$8*12),E552,"")</f>
      </c>
    </row>
    <row r="554" ht="22" customHeight="1" spans="1:7" x14ac:dyDescent="0.25">
      <c r="A554" s="36">
        <f>IF((ROW()-3)&lt;=('首頁'!$B$8*12),ROW()-3,"")</f>
      </c>
      <c r="B554" s="37">
        <f>IF((ROW()-3)&lt;=('首頁'!$B$8*12),C554+D554,"")</f>
      </c>
      <c r="C554" s="38">
        <f>IF((ROW()-3)&lt;=('首頁'!$B$8*12),G554*'首頁'!$B$7/12/100,"")</f>
      </c>
      <c r="D554" s="38">
        <f>IF((ROW()-3)&lt;=('首頁'!$B$8*12),IF(ROW()-3=('首頁'!$B$8*12),G554,MIN(G554,'首頁'!$B$13-C554)),"")</f>
      </c>
      <c r="E554" s="38">
        <f>IF((ROW()-3)&lt;=('首頁'!$B$8*12),G554-D554,"")</f>
      </c>
      <c r="G554" s="39">
        <f>IF((ROW()-3)&lt;=('首頁'!$B$8*12),E553,"")</f>
      </c>
    </row>
    <row r="555" ht="22" customHeight="1" spans="1:7" x14ac:dyDescent="0.25">
      <c r="A555" s="40">
        <f>IF((ROW()-3)&lt;=('首頁'!$B$8*12),ROW()-3,"")</f>
      </c>
      <c r="B555" s="41">
        <f>IF((ROW()-3)&lt;=('首頁'!$B$8*12),C555+D555,"")</f>
      </c>
      <c r="C555" s="42">
        <f>IF((ROW()-3)&lt;=('首頁'!$B$8*12),G555*'首頁'!$B$7/12/100,"")</f>
      </c>
      <c r="D555" s="42">
        <f>IF((ROW()-3)&lt;=('首頁'!$B$8*12),IF(ROW()-3=('首頁'!$B$8*12),G555,MIN(G555,'首頁'!$B$13-C555)),"")</f>
      </c>
      <c r="E555" s="42">
        <f>IF((ROW()-3)&lt;=('首頁'!$B$8*12),G555-D555,"")</f>
      </c>
      <c r="G555" s="39">
        <f>IF((ROW()-3)&lt;=('首頁'!$B$8*12),E554,"")</f>
      </c>
    </row>
    <row r="556" ht="22" customHeight="1" spans="1:7" x14ac:dyDescent="0.25">
      <c r="A556" s="36">
        <f>IF((ROW()-3)&lt;=('首頁'!$B$8*12),ROW()-3,"")</f>
      </c>
      <c r="B556" s="37">
        <f>IF((ROW()-3)&lt;=('首頁'!$B$8*12),C556+D556,"")</f>
      </c>
      <c r="C556" s="38">
        <f>IF((ROW()-3)&lt;=('首頁'!$B$8*12),G556*'首頁'!$B$7/12/100,"")</f>
      </c>
      <c r="D556" s="38">
        <f>IF((ROW()-3)&lt;=('首頁'!$B$8*12),IF(ROW()-3=('首頁'!$B$8*12),G556,MIN(G556,'首頁'!$B$13-C556)),"")</f>
      </c>
      <c r="E556" s="38">
        <f>IF((ROW()-3)&lt;=('首頁'!$B$8*12),G556-D556,"")</f>
      </c>
      <c r="G556" s="39">
        <f>IF((ROW()-3)&lt;=('首頁'!$B$8*12),E555,"")</f>
      </c>
    </row>
    <row r="557" ht="22" customHeight="1" spans="1:7" x14ac:dyDescent="0.25">
      <c r="A557" s="40">
        <f>IF((ROW()-3)&lt;=('首頁'!$B$8*12),ROW()-3,"")</f>
      </c>
      <c r="B557" s="41">
        <f>IF((ROW()-3)&lt;=('首頁'!$B$8*12),C557+D557,"")</f>
      </c>
      <c r="C557" s="42">
        <f>IF((ROW()-3)&lt;=('首頁'!$B$8*12),G557*'首頁'!$B$7/12/100,"")</f>
      </c>
      <c r="D557" s="42">
        <f>IF((ROW()-3)&lt;=('首頁'!$B$8*12),IF(ROW()-3=('首頁'!$B$8*12),G557,MIN(G557,'首頁'!$B$13-C557)),"")</f>
      </c>
      <c r="E557" s="42">
        <f>IF((ROW()-3)&lt;=('首頁'!$B$8*12),G557-D557,"")</f>
      </c>
      <c r="G557" s="39">
        <f>IF((ROW()-3)&lt;=('首頁'!$B$8*12),E556,"")</f>
      </c>
    </row>
    <row r="558" ht="22" customHeight="1" spans="1:7" x14ac:dyDescent="0.25">
      <c r="A558" s="36">
        <f>IF((ROW()-3)&lt;=('首頁'!$B$8*12),ROW()-3,"")</f>
      </c>
      <c r="B558" s="37">
        <f>IF((ROW()-3)&lt;=('首頁'!$B$8*12),C558+D558,"")</f>
      </c>
      <c r="C558" s="38">
        <f>IF((ROW()-3)&lt;=('首頁'!$B$8*12),G558*'首頁'!$B$7/12/100,"")</f>
      </c>
      <c r="D558" s="38">
        <f>IF((ROW()-3)&lt;=('首頁'!$B$8*12),IF(ROW()-3=('首頁'!$B$8*12),G558,MIN(G558,'首頁'!$B$13-C558)),"")</f>
      </c>
      <c r="E558" s="38">
        <f>IF((ROW()-3)&lt;=('首頁'!$B$8*12),G558-D558,"")</f>
      </c>
      <c r="G558" s="39">
        <f>IF((ROW()-3)&lt;=('首頁'!$B$8*12),E557,"")</f>
      </c>
    </row>
    <row r="559" ht="22" customHeight="1" spans="1:7" x14ac:dyDescent="0.25">
      <c r="A559" s="40">
        <f>IF((ROW()-3)&lt;=('首頁'!$B$8*12),ROW()-3,"")</f>
      </c>
      <c r="B559" s="41">
        <f>IF((ROW()-3)&lt;=('首頁'!$B$8*12),C559+D559,"")</f>
      </c>
      <c r="C559" s="42">
        <f>IF((ROW()-3)&lt;=('首頁'!$B$8*12),G559*'首頁'!$B$7/12/100,"")</f>
      </c>
      <c r="D559" s="42">
        <f>IF((ROW()-3)&lt;=('首頁'!$B$8*12),IF(ROW()-3=('首頁'!$B$8*12),G559,MIN(G559,'首頁'!$B$13-C559)),"")</f>
      </c>
      <c r="E559" s="42">
        <f>IF((ROW()-3)&lt;=('首頁'!$B$8*12),G559-D559,"")</f>
      </c>
      <c r="G559" s="39">
        <f>IF((ROW()-3)&lt;=('首頁'!$B$8*12),E558,"")</f>
      </c>
    </row>
    <row r="560" ht="22" customHeight="1" spans="1:7" x14ac:dyDescent="0.25">
      <c r="A560" s="36">
        <f>IF((ROW()-3)&lt;=('首頁'!$B$8*12),ROW()-3,"")</f>
      </c>
      <c r="B560" s="37">
        <f>IF((ROW()-3)&lt;=('首頁'!$B$8*12),C560+D560,"")</f>
      </c>
      <c r="C560" s="38">
        <f>IF((ROW()-3)&lt;=('首頁'!$B$8*12),G560*'首頁'!$B$7/12/100,"")</f>
      </c>
      <c r="D560" s="38">
        <f>IF((ROW()-3)&lt;=('首頁'!$B$8*12),IF(ROW()-3=('首頁'!$B$8*12),G560,MIN(G560,'首頁'!$B$13-C560)),"")</f>
      </c>
      <c r="E560" s="38">
        <f>IF((ROW()-3)&lt;=('首頁'!$B$8*12),G560-D560,"")</f>
      </c>
      <c r="G560" s="39">
        <f>IF((ROW()-3)&lt;=('首頁'!$B$8*12),E559,"")</f>
      </c>
    </row>
    <row r="561" ht="22" customHeight="1" spans="1:7" x14ac:dyDescent="0.25">
      <c r="A561" s="40">
        <f>IF((ROW()-3)&lt;=('首頁'!$B$8*12),ROW()-3,"")</f>
      </c>
      <c r="B561" s="41">
        <f>IF((ROW()-3)&lt;=('首頁'!$B$8*12),C561+D561,"")</f>
      </c>
      <c r="C561" s="42">
        <f>IF((ROW()-3)&lt;=('首頁'!$B$8*12),G561*'首頁'!$B$7/12/100,"")</f>
      </c>
      <c r="D561" s="42">
        <f>IF((ROW()-3)&lt;=('首頁'!$B$8*12),IF(ROW()-3=('首頁'!$B$8*12),G561,MIN(G561,'首頁'!$B$13-C561)),"")</f>
      </c>
      <c r="E561" s="42">
        <f>IF((ROW()-3)&lt;=('首頁'!$B$8*12),G561-D561,"")</f>
      </c>
      <c r="G561" s="39">
        <f>IF((ROW()-3)&lt;=('首頁'!$B$8*12),E560,"")</f>
      </c>
    </row>
    <row r="562" ht="22" customHeight="1" spans="1:7" x14ac:dyDescent="0.25">
      <c r="A562" s="36">
        <f>IF((ROW()-3)&lt;=('首頁'!$B$8*12),ROW()-3,"")</f>
      </c>
      <c r="B562" s="37">
        <f>IF((ROW()-3)&lt;=('首頁'!$B$8*12),C562+D562,"")</f>
      </c>
      <c r="C562" s="38">
        <f>IF((ROW()-3)&lt;=('首頁'!$B$8*12),G562*'首頁'!$B$7/12/100,"")</f>
      </c>
      <c r="D562" s="38">
        <f>IF((ROW()-3)&lt;=('首頁'!$B$8*12),IF(ROW()-3=('首頁'!$B$8*12),G562,MIN(G562,'首頁'!$B$13-C562)),"")</f>
      </c>
      <c r="E562" s="38">
        <f>IF((ROW()-3)&lt;=('首頁'!$B$8*12),G562-D562,"")</f>
      </c>
      <c r="G562" s="39">
        <f>IF((ROW()-3)&lt;=('首頁'!$B$8*12),E561,"")</f>
      </c>
    </row>
    <row r="563" ht="22" customHeight="1" spans="1:7" x14ac:dyDescent="0.25">
      <c r="A563" s="40">
        <f>IF((ROW()-3)&lt;=('首頁'!$B$8*12),ROW()-3,"")</f>
      </c>
      <c r="B563" s="41">
        <f>IF((ROW()-3)&lt;=('首頁'!$B$8*12),C563+D563,"")</f>
      </c>
      <c r="C563" s="42">
        <f>IF((ROW()-3)&lt;=('首頁'!$B$8*12),G563*'首頁'!$B$7/12/100,"")</f>
      </c>
      <c r="D563" s="42">
        <f>IF((ROW()-3)&lt;=('首頁'!$B$8*12),IF(ROW()-3=('首頁'!$B$8*12),G563,MIN(G563,'首頁'!$B$13-C563)),"")</f>
      </c>
      <c r="E563" s="42">
        <f>IF((ROW()-3)&lt;=('首頁'!$B$8*12),G563-D563,"")</f>
      </c>
      <c r="G563" s="39">
        <f>IF((ROW()-3)&lt;=('首頁'!$B$8*12),E562,"")</f>
      </c>
    </row>
    <row r="564" ht="22" customHeight="1" spans="1:7" x14ac:dyDescent="0.25">
      <c r="A564" s="36">
        <f>IF((ROW()-3)&lt;=('首頁'!$B$8*12),ROW()-3,"")</f>
      </c>
      <c r="B564" s="37">
        <f>IF((ROW()-3)&lt;=('首頁'!$B$8*12),C564+D564,"")</f>
      </c>
      <c r="C564" s="38">
        <f>IF((ROW()-3)&lt;=('首頁'!$B$8*12),G564*'首頁'!$B$7/12/100,"")</f>
      </c>
      <c r="D564" s="38">
        <f>IF((ROW()-3)&lt;=('首頁'!$B$8*12),IF(ROW()-3=('首頁'!$B$8*12),G564,MIN(G564,'首頁'!$B$13-C564)),"")</f>
      </c>
      <c r="E564" s="38">
        <f>IF((ROW()-3)&lt;=('首頁'!$B$8*12),G564-D564,"")</f>
      </c>
      <c r="G564" s="39">
        <f>IF((ROW()-3)&lt;=('首頁'!$B$8*12),E563,"")</f>
      </c>
    </row>
    <row r="565" ht="22" customHeight="1" spans="1:7" x14ac:dyDescent="0.25">
      <c r="A565" s="40">
        <f>IF((ROW()-3)&lt;=('首頁'!$B$8*12),ROW()-3,"")</f>
      </c>
      <c r="B565" s="41">
        <f>IF((ROW()-3)&lt;=('首頁'!$B$8*12),C565+D565,"")</f>
      </c>
      <c r="C565" s="42">
        <f>IF((ROW()-3)&lt;=('首頁'!$B$8*12),G565*'首頁'!$B$7/12/100,"")</f>
      </c>
      <c r="D565" s="42">
        <f>IF((ROW()-3)&lt;=('首頁'!$B$8*12),IF(ROW()-3=('首頁'!$B$8*12),G565,MIN(G565,'首頁'!$B$13-C565)),"")</f>
      </c>
      <c r="E565" s="42">
        <f>IF((ROW()-3)&lt;=('首頁'!$B$8*12),G565-D565,"")</f>
      </c>
      <c r="G565" s="39">
        <f>IF((ROW()-3)&lt;=('首頁'!$B$8*12),E564,"")</f>
      </c>
    </row>
    <row r="566" ht="22" customHeight="1" spans="1:7" x14ac:dyDescent="0.25">
      <c r="A566" s="36">
        <f>IF((ROW()-3)&lt;=('首頁'!$B$8*12),ROW()-3,"")</f>
      </c>
      <c r="B566" s="37">
        <f>IF((ROW()-3)&lt;=('首頁'!$B$8*12),C566+D566,"")</f>
      </c>
      <c r="C566" s="38">
        <f>IF((ROW()-3)&lt;=('首頁'!$B$8*12),G566*'首頁'!$B$7/12/100,"")</f>
      </c>
      <c r="D566" s="38">
        <f>IF((ROW()-3)&lt;=('首頁'!$B$8*12),IF(ROW()-3=('首頁'!$B$8*12),G566,MIN(G566,'首頁'!$B$13-C566)),"")</f>
      </c>
      <c r="E566" s="38">
        <f>IF((ROW()-3)&lt;=('首頁'!$B$8*12),G566-D566,"")</f>
      </c>
      <c r="G566" s="39">
        <f>IF((ROW()-3)&lt;=('首頁'!$B$8*12),E565,"")</f>
      </c>
    </row>
    <row r="567" ht="22" customHeight="1" spans="1:7" x14ac:dyDescent="0.25">
      <c r="A567" s="40">
        <f>IF((ROW()-3)&lt;=('首頁'!$B$8*12),ROW()-3,"")</f>
      </c>
      <c r="B567" s="41">
        <f>IF((ROW()-3)&lt;=('首頁'!$B$8*12),C567+D567,"")</f>
      </c>
      <c r="C567" s="42">
        <f>IF((ROW()-3)&lt;=('首頁'!$B$8*12),G567*'首頁'!$B$7/12/100,"")</f>
      </c>
      <c r="D567" s="42">
        <f>IF((ROW()-3)&lt;=('首頁'!$B$8*12),IF(ROW()-3=('首頁'!$B$8*12),G567,MIN(G567,'首頁'!$B$13-C567)),"")</f>
      </c>
      <c r="E567" s="42">
        <f>IF((ROW()-3)&lt;=('首頁'!$B$8*12),G567-D567,"")</f>
      </c>
      <c r="G567" s="39">
        <f>IF((ROW()-3)&lt;=('首頁'!$B$8*12),E566,"")</f>
      </c>
    </row>
    <row r="568" ht="22" customHeight="1" spans="1:7" x14ac:dyDescent="0.25">
      <c r="A568" s="36">
        <f>IF((ROW()-3)&lt;=('首頁'!$B$8*12),ROW()-3,"")</f>
      </c>
      <c r="B568" s="37">
        <f>IF((ROW()-3)&lt;=('首頁'!$B$8*12),C568+D568,"")</f>
      </c>
      <c r="C568" s="38">
        <f>IF((ROW()-3)&lt;=('首頁'!$B$8*12),G568*'首頁'!$B$7/12/100,"")</f>
      </c>
      <c r="D568" s="38">
        <f>IF((ROW()-3)&lt;=('首頁'!$B$8*12),IF(ROW()-3=('首頁'!$B$8*12),G568,MIN(G568,'首頁'!$B$13-C568)),"")</f>
      </c>
      <c r="E568" s="38">
        <f>IF((ROW()-3)&lt;=('首頁'!$B$8*12),G568-D568,"")</f>
      </c>
      <c r="G568" s="39">
        <f>IF((ROW()-3)&lt;=('首頁'!$B$8*12),E567,"")</f>
      </c>
    </row>
    <row r="569" ht="22" customHeight="1" spans="1:7" x14ac:dyDescent="0.25">
      <c r="A569" s="40">
        <f>IF((ROW()-3)&lt;=('首頁'!$B$8*12),ROW()-3,"")</f>
      </c>
      <c r="B569" s="41">
        <f>IF((ROW()-3)&lt;=('首頁'!$B$8*12),C569+D569,"")</f>
      </c>
      <c r="C569" s="42">
        <f>IF((ROW()-3)&lt;=('首頁'!$B$8*12),G569*'首頁'!$B$7/12/100,"")</f>
      </c>
      <c r="D569" s="42">
        <f>IF((ROW()-3)&lt;=('首頁'!$B$8*12),IF(ROW()-3=('首頁'!$B$8*12),G569,MIN(G569,'首頁'!$B$13-C569)),"")</f>
      </c>
      <c r="E569" s="42">
        <f>IF((ROW()-3)&lt;=('首頁'!$B$8*12),G569-D569,"")</f>
      </c>
      <c r="G569" s="39">
        <f>IF((ROW()-3)&lt;=('首頁'!$B$8*12),E568,"")</f>
      </c>
    </row>
    <row r="570" ht="22" customHeight="1" spans="1:7" x14ac:dyDescent="0.25">
      <c r="A570" s="36">
        <f>IF((ROW()-3)&lt;=('首頁'!$B$8*12),ROW()-3,"")</f>
      </c>
      <c r="B570" s="37">
        <f>IF((ROW()-3)&lt;=('首頁'!$B$8*12),C570+D570,"")</f>
      </c>
      <c r="C570" s="38">
        <f>IF((ROW()-3)&lt;=('首頁'!$B$8*12),G570*'首頁'!$B$7/12/100,"")</f>
      </c>
      <c r="D570" s="38">
        <f>IF((ROW()-3)&lt;=('首頁'!$B$8*12),IF(ROW()-3=('首頁'!$B$8*12),G570,MIN(G570,'首頁'!$B$13-C570)),"")</f>
      </c>
      <c r="E570" s="38">
        <f>IF((ROW()-3)&lt;=('首頁'!$B$8*12),G570-D570,"")</f>
      </c>
      <c r="G570" s="39">
        <f>IF((ROW()-3)&lt;=('首頁'!$B$8*12),E569,"")</f>
      </c>
    </row>
    <row r="571" ht="22" customHeight="1" spans="1:7" x14ac:dyDescent="0.25">
      <c r="A571" s="40">
        <f>IF((ROW()-3)&lt;=('首頁'!$B$8*12),ROW()-3,"")</f>
      </c>
      <c r="B571" s="41">
        <f>IF((ROW()-3)&lt;=('首頁'!$B$8*12),C571+D571,"")</f>
      </c>
      <c r="C571" s="42">
        <f>IF((ROW()-3)&lt;=('首頁'!$B$8*12),G571*'首頁'!$B$7/12/100,"")</f>
      </c>
      <c r="D571" s="42">
        <f>IF((ROW()-3)&lt;=('首頁'!$B$8*12),IF(ROW()-3=('首頁'!$B$8*12),G571,MIN(G571,'首頁'!$B$13-C571)),"")</f>
      </c>
      <c r="E571" s="42">
        <f>IF((ROW()-3)&lt;=('首頁'!$B$8*12),G571-D571,"")</f>
      </c>
      <c r="G571" s="39">
        <f>IF((ROW()-3)&lt;=('首頁'!$B$8*12),E570,"")</f>
      </c>
    </row>
    <row r="572" ht="22" customHeight="1" spans="1:7" x14ac:dyDescent="0.25">
      <c r="A572" s="36">
        <f>IF((ROW()-3)&lt;=('首頁'!$B$8*12),ROW()-3,"")</f>
      </c>
      <c r="B572" s="37">
        <f>IF((ROW()-3)&lt;=('首頁'!$B$8*12),C572+D572,"")</f>
      </c>
      <c r="C572" s="38">
        <f>IF((ROW()-3)&lt;=('首頁'!$B$8*12),G572*'首頁'!$B$7/12/100,"")</f>
      </c>
      <c r="D572" s="38">
        <f>IF((ROW()-3)&lt;=('首頁'!$B$8*12),IF(ROW()-3=('首頁'!$B$8*12),G572,MIN(G572,'首頁'!$B$13-C572)),"")</f>
      </c>
      <c r="E572" s="38">
        <f>IF((ROW()-3)&lt;=('首頁'!$B$8*12),G572-D572,"")</f>
      </c>
      <c r="G572" s="39">
        <f>IF((ROW()-3)&lt;=('首頁'!$B$8*12),E571,"")</f>
      </c>
    </row>
    <row r="573" ht="22" customHeight="1" spans="1:7" x14ac:dyDescent="0.25">
      <c r="A573" s="40">
        <f>IF((ROW()-3)&lt;=('首頁'!$B$8*12),ROW()-3,"")</f>
      </c>
      <c r="B573" s="41">
        <f>IF((ROW()-3)&lt;=('首頁'!$B$8*12),C573+D573,"")</f>
      </c>
      <c r="C573" s="42">
        <f>IF((ROW()-3)&lt;=('首頁'!$B$8*12),G573*'首頁'!$B$7/12/100,"")</f>
      </c>
      <c r="D573" s="42">
        <f>IF((ROW()-3)&lt;=('首頁'!$B$8*12),IF(ROW()-3=('首頁'!$B$8*12),G573,MIN(G573,'首頁'!$B$13-C573)),"")</f>
      </c>
      <c r="E573" s="42">
        <f>IF((ROW()-3)&lt;=('首頁'!$B$8*12),G573-D573,"")</f>
      </c>
      <c r="G573" s="39">
        <f>IF((ROW()-3)&lt;=('首頁'!$B$8*12),E572,"")</f>
      </c>
    </row>
    <row r="574" ht="22" customHeight="1" spans="1:7" x14ac:dyDescent="0.25">
      <c r="A574" s="36">
        <f>IF((ROW()-3)&lt;=('首頁'!$B$8*12),ROW()-3,"")</f>
      </c>
      <c r="B574" s="37">
        <f>IF((ROW()-3)&lt;=('首頁'!$B$8*12),C574+D574,"")</f>
      </c>
      <c r="C574" s="38">
        <f>IF((ROW()-3)&lt;=('首頁'!$B$8*12),G574*'首頁'!$B$7/12/100,"")</f>
      </c>
      <c r="D574" s="38">
        <f>IF((ROW()-3)&lt;=('首頁'!$B$8*12),IF(ROW()-3=('首頁'!$B$8*12),G574,MIN(G574,'首頁'!$B$13-C574)),"")</f>
      </c>
      <c r="E574" s="38">
        <f>IF((ROW()-3)&lt;=('首頁'!$B$8*12),G574-D574,"")</f>
      </c>
      <c r="G574" s="39">
        <f>IF((ROW()-3)&lt;=('首頁'!$B$8*12),E573,"")</f>
      </c>
    </row>
    <row r="575" ht="22" customHeight="1" spans="1:7" x14ac:dyDescent="0.25">
      <c r="A575" s="40">
        <f>IF((ROW()-3)&lt;=('首頁'!$B$8*12),ROW()-3,"")</f>
      </c>
      <c r="B575" s="41">
        <f>IF((ROW()-3)&lt;=('首頁'!$B$8*12),C575+D575,"")</f>
      </c>
      <c r="C575" s="42">
        <f>IF((ROW()-3)&lt;=('首頁'!$B$8*12),G575*'首頁'!$B$7/12/100,"")</f>
      </c>
      <c r="D575" s="42">
        <f>IF((ROW()-3)&lt;=('首頁'!$B$8*12),IF(ROW()-3=('首頁'!$B$8*12),G575,MIN(G575,'首頁'!$B$13-C575)),"")</f>
      </c>
      <c r="E575" s="42">
        <f>IF((ROW()-3)&lt;=('首頁'!$B$8*12),G575-D575,"")</f>
      </c>
      <c r="G575" s="39">
        <f>IF((ROW()-3)&lt;=('首頁'!$B$8*12),E574,"")</f>
      </c>
    </row>
    <row r="576" ht="22" customHeight="1" spans="1:7" x14ac:dyDescent="0.25">
      <c r="A576" s="36">
        <f>IF((ROW()-3)&lt;=('首頁'!$B$8*12),ROW()-3,"")</f>
      </c>
      <c r="B576" s="37">
        <f>IF((ROW()-3)&lt;=('首頁'!$B$8*12),C576+D576,"")</f>
      </c>
      <c r="C576" s="38">
        <f>IF((ROW()-3)&lt;=('首頁'!$B$8*12),G576*'首頁'!$B$7/12/100,"")</f>
      </c>
      <c r="D576" s="38">
        <f>IF((ROW()-3)&lt;=('首頁'!$B$8*12),IF(ROW()-3=('首頁'!$B$8*12),G576,MIN(G576,'首頁'!$B$13-C576)),"")</f>
      </c>
      <c r="E576" s="38">
        <f>IF((ROW()-3)&lt;=('首頁'!$B$8*12),G576-D576,"")</f>
      </c>
      <c r="G576" s="39">
        <f>IF((ROW()-3)&lt;=('首頁'!$B$8*12),E575,"")</f>
      </c>
    </row>
    <row r="577" ht="22" customHeight="1" spans="1:7" x14ac:dyDescent="0.25">
      <c r="A577" s="40">
        <f>IF((ROW()-3)&lt;=('首頁'!$B$8*12),ROW()-3,"")</f>
      </c>
      <c r="B577" s="41">
        <f>IF((ROW()-3)&lt;=('首頁'!$B$8*12),C577+D577,"")</f>
      </c>
      <c r="C577" s="42">
        <f>IF((ROW()-3)&lt;=('首頁'!$B$8*12),G577*'首頁'!$B$7/12/100,"")</f>
      </c>
      <c r="D577" s="42">
        <f>IF((ROW()-3)&lt;=('首頁'!$B$8*12),IF(ROW()-3=('首頁'!$B$8*12),G577,MIN(G577,'首頁'!$B$13-C577)),"")</f>
      </c>
      <c r="E577" s="42">
        <f>IF((ROW()-3)&lt;=('首頁'!$B$8*12),G577-D577,"")</f>
      </c>
      <c r="G577" s="39">
        <f>IF((ROW()-3)&lt;=('首頁'!$B$8*12),E576,"")</f>
      </c>
    </row>
    <row r="578" ht="22" customHeight="1" spans="1:7" x14ac:dyDescent="0.25">
      <c r="A578" s="36">
        <f>IF((ROW()-3)&lt;=('首頁'!$B$8*12),ROW()-3,"")</f>
      </c>
      <c r="B578" s="37">
        <f>IF((ROW()-3)&lt;=('首頁'!$B$8*12),C578+D578,"")</f>
      </c>
      <c r="C578" s="38">
        <f>IF((ROW()-3)&lt;=('首頁'!$B$8*12),G578*'首頁'!$B$7/12/100,"")</f>
      </c>
      <c r="D578" s="38">
        <f>IF((ROW()-3)&lt;=('首頁'!$B$8*12),IF(ROW()-3=('首頁'!$B$8*12),G578,MIN(G578,'首頁'!$B$13-C578)),"")</f>
      </c>
      <c r="E578" s="38">
        <f>IF((ROW()-3)&lt;=('首頁'!$B$8*12),G578-D578,"")</f>
      </c>
      <c r="G578" s="39">
        <f>IF((ROW()-3)&lt;=('首頁'!$B$8*12),E577,"")</f>
      </c>
    </row>
    <row r="579" ht="22" customHeight="1" spans="1:7" x14ac:dyDescent="0.25">
      <c r="A579" s="40">
        <f>IF((ROW()-3)&lt;=('首頁'!$B$8*12),ROW()-3,"")</f>
      </c>
      <c r="B579" s="41">
        <f>IF((ROW()-3)&lt;=('首頁'!$B$8*12),C579+D579,"")</f>
      </c>
      <c r="C579" s="42">
        <f>IF((ROW()-3)&lt;=('首頁'!$B$8*12),G579*'首頁'!$B$7/12/100,"")</f>
      </c>
      <c r="D579" s="42">
        <f>IF((ROW()-3)&lt;=('首頁'!$B$8*12),IF(ROW()-3=('首頁'!$B$8*12),G579,MIN(G579,'首頁'!$B$13-C579)),"")</f>
      </c>
      <c r="E579" s="42">
        <f>IF((ROW()-3)&lt;=('首頁'!$B$8*12),G579-D579,"")</f>
      </c>
      <c r="G579" s="39">
        <f>IF((ROW()-3)&lt;=('首頁'!$B$8*12),E578,"")</f>
      </c>
    </row>
    <row r="580" ht="22" customHeight="1" spans="1:7" x14ac:dyDescent="0.25">
      <c r="A580" s="36">
        <f>IF((ROW()-3)&lt;=('首頁'!$B$8*12),ROW()-3,"")</f>
      </c>
      <c r="B580" s="37">
        <f>IF((ROW()-3)&lt;=('首頁'!$B$8*12),C580+D580,"")</f>
      </c>
      <c r="C580" s="38">
        <f>IF((ROW()-3)&lt;=('首頁'!$B$8*12),G580*'首頁'!$B$7/12/100,"")</f>
      </c>
      <c r="D580" s="38">
        <f>IF((ROW()-3)&lt;=('首頁'!$B$8*12),IF(ROW()-3=('首頁'!$B$8*12),G580,MIN(G580,'首頁'!$B$13-C580)),"")</f>
      </c>
      <c r="E580" s="38">
        <f>IF((ROW()-3)&lt;=('首頁'!$B$8*12),G580-D580,"")</f>
      </c>
      <c r="G580" s="39">
        <f>IF((ROW()-3)&lt;=('首頁'!$B$8*12),E579,"")</f>
      </c>
    </row>
    <row r="581" ht="22" customHeight="1" spans="1:7" x14ac:dyDescent="0.25">
      <c r="A581" s="40">
        <f>IF((ROW()-3)&lt;=('首頁'!$B$8*12),ROW()-3,"")</f>
      </c>
      <c r="B581" s="41">
        <f>IF((ROW()-3)&lt;=('首頁'!$B$8*12),C581+D581,"")</f>
      </c>
      <c r="C581" s="42">
        <f>IF((ROW()-3)&lt;=('首頁'!$B$8*12),G581*'首頁'!$B$7/12/100,"")</f>
      </c>
      <c r="D581" s="42">
        <f>IF((ROW()-3)&lt;=('首頁'!$B$8*12),IF(ROW()-3=('首頁'!$B$8*12),G581,MIN(G581,'首頁'!$B$13-C581)),"")</f>
      </c>
      <c r="E581" s="42">
        <f>IF((ROW()-3)&lt;=('首頁'!$B$8*12),G581-D581,"")</f>
      </c>
      <c r="G581" s="39">
        <f>IF((ROW()-3)&lt;=('首頁'!$B$8*12),E580,"")</f>
      </c>
    </row>
    <row r="582" ht="22" customHeight="1" spans="1:7" x14ac:dyDescent="0.25">
      <c r="A582" s="36">
        <f>IF((ROW()-3)&lt;=('首頁'!$B$8*12),ROW()-3,"")</f>
      </c>
      <c r="B582" s="37">
        <f>IF((ROW()-3)&lt;=('首頁'!$B$8*12),C582+D582,"")</f>
      </c>
      <c r="C582" s="38">
        <f>IF((ROW()-3)&lt;=('首頁'!$B$8*12),G582*'首頁'!$B$7/12/100,"")</f>
      </c>
      <c r="D582" s="38">
        <f>IF((ROW()-3)&lt;=('首頁'!$B$8*12),IF(ROW()-3=('首頁'!$B$8*12),G582,MIN(G582,'首頁'!$B$13-C582)),"")</f>
      </c>
      <c r="E582" s="38">
        <f>IF((ROW()-3)&lt;=('首頁'!$B$8*12),G582-D582,"")</f>
      </c>
      <c r="G582" s="39">
        <f>IF((ROW()-3)&lt;=('首頁'!$B$8*12),E581,"")</f>
      </c>
    </row>
    <row r="583" ht="22" customHeight="1" spans="1:7" x14ac:dyDescent="0.25">
      <c r="A583" s="40">
        <f>IF((ROW()-3)&lt;=('首頁'!$B$8*12),ROW()-3,"")</f>
      </c>
      <c r="B583" s="41">
        <f>IF((ROW()-3)&lt;=('首頁'!$B$8*12),C583+D583,"")</f>
      </c>
      <c r="C583" s="42">
        <f>IF((ROW()-3)&lt;=('首頁'!$B$8*12),G583*'首頁'!$B$7/12/100,"")</f>
      </c>
      <c r="D583" s="42">
        <f>IF((ROW()-3)&lt;=('首頁'!$B$8*12),IF(ROW()-3=('首頁'!$B$8*12),G583,MIN(G583,'首頁'!$B$13-C583)),"")</f>
      </c>
      <c r="E583" s="42">
        <f>IF((ROW()-3)&lt;=('首頁'!$B$8*12),G583-D583,"")</f>
      </c>
      <c r="G583" s="39">
        <f>IF((ROW()-3)&lt;=('首頁'!$B$8*12),E582,"")</f>
      </c>
    </row>
    <row r="584" ht="22" customHeight="1" spans="1:7" x14ac:dyDescent="0.25">
      <c r="A584" s="36">
        <f>IF((ROW()-3)&lt;=('首頁'!$B$8*12),ROW()-3,"")</f>
      </c>
      <c r="B584" s="37">
        <f>IF((ROW()-3)&lt;=('首頁'!$B$8*12),C584+D584,"")</f>
      </c>
      <c r="C584" s="38">
        <f>IF((ROW()-3)&lt;=('首頁'!$B$8*12),G584*'首頁'!$B$7/12/100,"")</f>
      </c>
      <c r="D584" s="38">
        <f>IF((ROW()-3)&lt;=('首頁'!$B$8*12),IF(ROW()-3=('首頁'!$B$8*12),G584,MIN(G584,'首頁'!$B$13-C584)),"")</f>
      </c>
      <c r="E584" s="38">
        <f>IF((ROW()-3)&lt;=('首頁'!$B$8*12),G584-D584,"")</f>
      </c>
      <c r="G584" s="39">
        <f>IF((ROW()-3)&lt;=('首頁'!$B$8*12),E583,"")</f>
      </c>
    </row>
    <row r="585" ht="22" customHeight="1" spans="1:7" x14ac:dyDescent="0.25">
      <c r="A585" s="40">
        <f>IF((ROW()-3)&lt;=('首頁'!$B$8*12),ROW()-3,"")</f>
      </c>
      <c r="B585" s="41">
        <f>IF((ROW()-3)&lt;=('首頁'!$B$8*12),C585+D585,"")</f>
      </c>
      <c r="C585" s="42">
        <f>IF((ROW()-3)&lt;=('首頁'!$B$8*12),G585*'首頁'!$B$7/12/100,"")</f>
      </c>
      <c r="D585" s="42">
        <f>IF((ROW()-3)&lt;=('首頁'!$B$8*12),IF(ROW()-3=('首頁'!$B$8*12),G585,MIN(G585,'首頁'!$B$13-C585)),"")</f>
      </c>
      <c r="E585" s="42">
        <f>IF((ROW()-3)&lt;=('首頁'!$B$8*12),G585-D585,"")</f>
      </c>
      <c r="G585" s="39">
        <f>IF((ROW()-3)&lt;=('首頁'!$B$8*12),E584,"")</f>
      </c>
    </row>
    <row r="586" ht="22" customHeight="1" spans="1:7" x14ac:dyDescent="0.25">
      <c r="A586" s="36">
        <f>IF((ROW()-3)&lt;=('首頁'!$B$8*12),ROW()-3,"")</f>
      </c>
      <c r="B586" s="37">
        <f>IF((ROW()-3)&lt;=('首頁'!$B$8*12),C586+D586,"")</f>
      </c>
      <c r="C586" s="38">
        <f>IF((ROW()-3)&lt;=('首頁'!$B$8*12),G586*'首頁'!$B$7/12/100,"")</f>
      </c>
      <c r="D586" s="38">
        <f>IF((ROW()-3)&lt;=('首頁'!$B$8*12),IF(ROW()-3=('首頁'!$B$8*12),G586,MIN(G586,'首頁'!$B$13-C586)),"")</f>
      </c>
      <c r="E586" s="38">
        <f>IF((ROW()-3)&lt;=('首頁'!$B$8*12),G586-D586,"")</f>
      </c>
      <c r="G586" s="39">
        <f>IF((ROW()-3)&lt;=('首頁'!$B$8*12),E585,"")</f>
      </c>
    </row>
    <row r="587" ht="22" customHeight="1" spans="1:7" x14ac:dyDescent="0.25">
      <c r="A587" s="40">
        <f>IF((ROW()-3)&lt;=('首頁'!$B$8*12),ROW()-3,"")</f>
      </c>
      <c r="B587" s="41">
        <f>IF((ROW()-3)&lt;=('首頁'!$B$8*12),C587+D587,"")</f>
      </c>
      <c r="C587" s="42">
        <f>IF((ROW()-3)&lt;=('首頁'!$B$8*12),G587*'首頁'!$B$7/12/100,"")</f>
      </c>
      <c r="D587" s="42">
        <f>IF((ROW()-3)&lt;=('首頁'!$B$8*12),IF(ROW()-3=('首頁'!$B$8*12),G587,MIN(G587,'首頁'!$B$13-C587)),"")</f>
      </c>
      <c r="E587" s="42">
        <f>IF((ROW()-3)&lt;=('首頁'!$B$8*12),G587-D587,"")</f>
      </c>
      <c r="G587" s="39">
        <f>IF((ROW()-3)&lt;=('首頁'!$B$8*12),E586,"")</f>
      </c>
    </row>
    <row r="588" ht="22" customHeight="1" spans="1:7" x14ac:dyDescent="0.25">
      <c r="A588" s="36">
        <f>IF((ROW()-3)&lt;=('首頁'!$B$8*12),ROW()-3,"")</f>
      </c>
      <c r="B588" s="37">
        <f>IF((ROW()-3)&lt;=('首頁'!$B$8*12),C588+D588,"")</f>
      </c>
      <c r="C588" s="38">
        <f>IF((ROW()-3)&lt;=('首頁'!$B$8*12),G588*'首頁'!$B$7/12/100,"")</f>
      </c>
      <c r="D588" s="38">
        <f>IF((ROW()-3)&lt;=('首頁'!$B$8*12),IF(ROW()-3=('首頁'!$B$8*12),G588,MIN(G588,'首頁'!$B$13-C588)),"")</f>
      </c>
      <c r="E588" s="38">
        <f>IF((ROW()-3)&lt;=('首頁'!$B$8*12),G588-D588,"")</f>
      </c>
      <c r="G588" s="39">
        <f>IF((ROW()-3)&lt;=('首頁'!$B$8*12),E587,"")</f>
      </c>
    </row>
    <row r="589" ht="22" customHeight="1" spans="1:7" x14ac:dyDescent="0.25">
      <c r="A589" s="40">
        <f>IF((ROW()-3)&lt;=('首頁'!$B$8*12),ROW()-3,"")</f>
      </c>
      <c r="B589" s="41">
        <f>IF((ROW()-3)&lt;=('首頁'!$B$8*12),C589+D589,"")</f>
      </c>
      <c r="C589" s="42">
        <f>IF((ROW()-3)&lt;=('首頁'!$B$8*12),G589*'首頁'!$B$7/12/100,"")</f>
      </c>
      <c r="D589" s="42">
        <f>IF((ROW()-3)&lt;=('首頁'!$B$8*12),IF(ROW()-3=('首頁'!$B$8*12),G589,MIN(G589,'首頁'!$B$13-C589)),"")</f>
      </c>
      <c r="E589" s="42">
        <f>IF((ROW()-3)&lt;=('首頁'!$B$8*12),G589-D589,"")</f>
      </c>
      <c r="G589" s="39">
        <f>IF((ROW()-3)&lt;=('首頁'!$B$8*12),E588,"")</f>
      </c>
    </row>
    <row r="590" ht="22" customHeight="1" spans="1:7" x14ac:dyDescent="0.25">
      <c r="A590" s="36">
        <f>IF((ROW()-3)&lt;=('首頁'!$B$8*12),ROW()-3,"")</f>
      </c>
      <c r="B590" s="37">
        <f>IF((ROW()-3)&lt;=('首頁'!$B$8*12),C590+D590,"")</f>
      </c>
      <c r="C590" s="38">
        <f>IF((ROW()-3)&lt;=('首頁'!$B$8*12),G590*'首頁'!$B$7/12/100,"")</f>
      </c>
      <c r="D590" s="38">
        <f>IF((ROW()-3)&lt;=('首頁'!$B$8*12),IF(ROW()-3=('首頁'!$B$8*12),G590,MIN(G590,'首頁'!$B$13-C590)),"")</f>
      </c>
      <c r="E590" s="38">
        <f>IF((ROW()-3)&lt;=('首頁'!$B$8*12),G590-D590,"")</f>
      </c>
      <c r="G590" s="39">
        <f>IF((ROW()-3)&lt;=('首頁'!$B$8*12),E589,"")</f>
      </c>
    </row>
    <row r="591" ht="22" customHeight="1" spans="1:7" x14ac:dyDescent="0.25">
      <c r="A591" s="40">
        <f>IF((ROW()-3)&lt;=('首頁'!$B$8*12),ROW()-3,"")</f>
      </c>
      <c r="B591" s="41">
        <f>IF((ROW()-3)&lt;=('首頁'!$B$8*12),C591+D591,"")</f>
      </c>
      <c r="C591" s="42">
        <f>IF((ROW()-3)&lt;=('首頁'!$B$8*12),G591*'首頁'!$B$7/12/100,"")</f>
      </c>
      <c r="D591" s="42">
        <f>IF((ROW()-3)&lt;=('首頁'!$B$8*12),IF(ROW()-3=('首頁'!$B$8*12),G591,MIN(G591,'首頁'!$B$13-C591)),"")</f>
      </c>
      <c r="E591" s="42">
        <f>IF((ROW()-3)&lt;=('首頁'!$B$8*12),G591-D591,"")</f>
      </c>
      <c r="G591" s="39">
        <f>IF((ROW()-3)&lt;=('首頁'!$B$8*12),E590,"")</f>
      </c>
    </row>
    <row r="592" ht="22" customHeight="1" spans="1:7" x14ac:dyDescent="0.25">
      <c r="A592" s="36">
        <f>IF((ROW()-3)&lt;=('首頁'!$B$8*12),ROW()-3,"")</f>
      </c>
      <c r="B592" s="37">
        <f>IF((ROW()-3)&lt;=('首頁'!$B$8*12),C592+D592,"")</f>
      </c>
      <c r="C592" s="38">
        <f>IF((ROW()-3)&lt;=('首頁'!$B$8*12),G592*'首頁'!$B$7/12/100,"")</f>
      </c>
      <c r="D592" s="38">
        <f>IF((ROW()-3)&lt;=('首頁'!$B$8*12),IF(ROW()-3=('首頁'!$B$8*12),G592,MIN(G592,'首頁'!$B$13-C592)),"")</f>
      </c>
      <c r="E592" s="38">
        <f>IF((ROW()-3)&lt;=('首頁'!$B$8*12),G592-D592,"")</f>
      </c>
      <c r="G592" s="39">
        <f>IF((ROW()-3)&lt;=('首頁'!$B$8*12),E591,"")</f>
      </c>
    </row>
    <row r="593" ht="22" customHeight="1" spans="1:7" x14ac:dyDescent="0.25">
      <c r="A593" s="40">
        <f>IF((ROW()-3)&lt;=('首頁'!$B$8*12),ROW()-3,"")</f>
      </c>
      <c r="B593" s="41">
        <f>IF((ROW()-3)&lt;=('首頁'!$B$8*12),C593+D593,"")</f>
      </c>
      <c r="C593" s="42">
        <f>IF((ROW()-3)&lt;=('首頁'!$B$8*12),G593*'首頁'!$B$7/12/100,"")</f>
      </c>
      <c r="D593" s="42">
        <f>IF((ROW()-3)&lt;=('首頁'!$B$8*12),IF(ROW()-3=('首頁'!$B$8*12),G593,MIN(G593,'首頁'!$B$13-C593)),"")</f>
      </c>
      <c r="E593" s="42">
        <f>IF((ROW()-3)&lt;=('首頁'!$B$8*12),G593-D593,"")</f>
      </c>
      <c r="G593" s="39">
        <f>IF((ROW()-3)&lt;=('首頁'!$B$8*12),E592,"")</f>
      </c>
    </row>
    <row r="594" ht="22" customHeight="1" spans="1:7" x14ac:dyDescent="0.25">
      <c r="A594" s="36">
        <f>IF((ROW()-3)&lt;=('首頁'!$B$8*12),ROW()-3,"")</f>
      </c>
      <c r="B594" s="37">
        <f>IF((ROW()-3)&lt;=('首頁'!$B$8*12),C594+D594,"")</f>
      </c>
      <c r="C594" s="38">
        <f>IF((ROW()-3)&lt;=('首頁'!$B$8*12),G594*'首頁'!$B$7/12/100,"")</f>
      </c>
      <c r="D594" s="38">
        <f>IF((ROW()-3)&lt;=('首頁'!$B$8*12),IF(ROW()-3=('首頁'!$B$8*12),G594,MIN(G594,'首頁'!$B$13-C594)),"")</f>
      </c>
      <c r="E594" s="38">
        <f>IF((ROW()-3)&lt;=('首頁'!$B$8*12),G594-D594,"")</f>
      </c>
      <c r="G594" s="39">
        <f>IF((ROW()-3)&lt;=('首頁'!$B$8*12),E593,"")</f>
      </c>
    </row>
    <row r="595" ht="22" customHeight="1" spans="1:7" x14ac:dyDescent="0.25">
      <c r="A595" s="40">
        <f>IF((ROW()-3)&lt;=('首頁'!$B$8*12),ROW()-3,"")</f>
      </c>
      <c r="B595" s="41">
        <f>IF((ROW()-3)&lt;=('首頁'!$B$8*12),C595+D595,"")</f>
      </c>
      <c r="C595" s="42">
        <f>IF((ROW()-3)&lt;=('首頁'!$B$8*12),G595*'首頁'!$B$7/12/100,"")</f>
      </c>
      <c r="D595" s="42">
        <f>IF((ROW()-3)&lt;=('首頁'!$B$8*12),IF(ROW()-3=('首頁'!$B$8*12),G595,MIN(G595,'首頁'!$B$13-C595)),"")</f>
      </c>
      <c r="E595" s="42">
        <f>IF((ROW()-3)&lt;=('首頁'!$B$8*12),G595-D595,"")</f>
      </c>
      <c r="G595" s="39">
        <f>IF((ROW()-3)&lt;=('首頁'!$B$8*12),E594,"")</f>
      </c>
    </row>
    <row r="596" ht="22" customHeight="1" spans="1:7" x14ac:dyDescent="0.25">
      <c r="A596" s="36">
        <f>IF((ROW()-3)&lt;=('首頁'!$B$8*12),ROW()-3,"")</f>
      </c>
      <c r="B596" s="37">
        <f>IF((ROW()-3)&lt;=('首頁'!$B$8*12),C596+D596,"")</f>
      </c>
      <c r="C596" s="38">
        <f>IF((ROW()-3)&lt;=('首頁'!$B$8*12),G596*'首頁'!$B$7/12/100,"")</f>
      </c>
      <c r="D596" s="38">
        <f>IF((ROW()-3)&lt;=('首頁'!$B$8*12),IF(ROW()-3=('首頁'!$B$8*12),G596,MIN(G596,'首頁'!$B$13-C596)),"")</f>
      </c>
      <c r="E596" s="38">
        <f>IF((ROW()-3)&lt;=('首頁'!$B$8*12),G596-D596,"")</f>
      </c>
      <c r="G596" s="39">
        <f>IF((ROW()-3)&lt;=('首頁'!$B$8*12),E595,"")</f>
      </c>
    </row>
    <row r="597" ht="22" customHeight="1" spans="1:7" x14ac:dyDescent="0.25">
      <c r="A597" s="40">
        <f>IF((ROW()-3)&lt;=('首頁'!$B$8*12),ROW()-3,"")</f>
      </c>
      <c r="B597" s="41">
        <f>IF((ROW()-3)&lt;=('首頁'!$B$8*12),C597+D597,"")</f>
      </c>
      <c r="C597" s="42">
        <f>IF((ROW()-3)&lt;=('首頁'!$B$8*12),G597*'首頁'!$B$7/12/100,"")</f>
      </c>
      <c r="D597" s="42">
        <f>IF((ROW()-3)&lt;=('首頁'!$B$8*12),IF(ROW()-3=('首頁'!$B$8*12),G597,MIN(G597,'首頁'!$B$13-C597)),"")</f>
      </c>
      <c r="E597" s="42">
        <f>IF((ROW()-3)&lt;=('首頁'!$B$8*12),G597-D597,"")</f>
      </c>
      <c r="G597" s="39">
        <f>IF((ROW()-3)&lt;=('首頁'!$B$8*12),E596,"")</f>
      </c>
    </row>
    <row r="598" ht="22" customHeight="1" spans="1:7" x14ac:dyDescent="0.25">
      <c r="A598" s="36">
        <f>IF((ROW()-3)&lt;=('首頁'!$B$8*12),ROW()-3,"")</f>
      </c>
      <c r="B598" s="37">
        <f>IF((ROW()-3)&lt;=('首頁'!$B$8*12),C598+D598,"")</f>
      </c>
      <c r="C598" s="38">
        <f>IF((ROW()-3)&lt;=('首頁'!$B$8*12),G598*'首頁'!$B$7/12/100,"")</f>
      </c>
      <c r="D598" s="38">
        <f>IF((ROW()-3)&lt;=('首頁'!$B$8*12),IF(ROW()-3=('首頁'!$B$8*12),G598,MIN(G598,'首頁'!$B$13-C598)),"")</f>
      </c>
      <c r="E598" s="38">
        <f>IF((ROW()-3)&lt;=('首頁'!$B$8*12),G598-D598,"")</f>
      </c>
      <c r="G598" s="39">
        <f>IF((ROW()-3)&lt;=('首頁'!$B$8*12),E597,"")</f>
      </c>
    </row>
    <row r="599" ht="22" customHeight="1" spans="1:7" x14ac:dyDescent="0.25">
      <c r="A599" s="40">
        <f>IF((ROW()-3)&lt;=('首頁'!$B$8*12),ROW()-3,"")</f>
      </c>
      <c r="B599" s="41">
        <f>IF((ROW()-3)&lt;=('首頁'!$B$8*12),C599+D599,"")</f>
      </c>
      <c r="C599" s="42">
        <f>IF((ROW()-3)&lt;=('首頁'!$B$8*12),G599*'首頁'!$B$7/12/100,"")</f>
      </c>
      <c r="D599" s="42">
        <f>IF((ROW()-3)&lt;=('首頁'!$B$8*12),IF(ROW()-3=('首頁'!$B$8*12),G599,MIN(G599,'首頁'!$B$13-C599)),"")</f>
      </c>
      <c r="E599" s="42">
        <f>IF((ROW()-3)&lt;=('首頁'!$B$8*12),G599-D599,"")</f>
      </c>
      <c r="G599" s="39">
        <f>IF((ROW()-3)&lt;=('首頁'!$B$8*12),E598,"")</f>
      </c>
    </row>
    <row r="600" ht="22" customHeight="1" spans="1:7" x14ac:dyDescent="0.25">
      <c r="A600" s="36">
        <f>IF((ROW()-3)&lt;=('首頁'!$B$8*12),ROW()-3,"")</f>
      </c>
      <c r="B600" s="37">
        <f>IF((ROW()-3)&lt;=('首頁'!$B$8*12),C600+D600,"")</f>
      </c>
      <c r="C600" s="38">
        <f>IF((ROW()-3)&lt;=('首頁'!$B$8*12),G600*'首頁'!$B$7/12/100,"")</f>
      </c>
      <c r="D600" s="38">
        <f>IF((ROW()-3)&lt;=('首頁'!$B$8*12),IF(ROW()-3=('首頁'!$B$8*12),G600,MIN(G600,'首頁'!$B$13-C600)),"")</f>
      </c>
      <c r="E600" s="38">
        <f>IF((ROW()-3)&lt;=('首頁'!$B$8*12),G600-D600,"")</f>
      </c>
      <c r="G600" s="39">
        <f>IF((ROW()-3)&lt;=('首頁'!$B$8*12),E599,"")</f>
      </c>
    </row>
    <row r="601" ht="22" customHeight="1" spans="1:7" x14ac:dyDescent="0.25">
      <c r="A601" s="40">
        <f>IF((ROW()-3)&lt;=('首頁'!$B$8*12),ROW()-3,"")</f>
      </c>
      <c r="B601" s="41">
        <f>IF((ROW()-3)&lt;=('首頁'!$B$8*12),C601+D601,"")</f>
      </c>
      <c r="C601" s="42">
        <f>IF((ROW()-3)&lt;=('首頁'!$B$8*12),G601*'首頁'!$B$7/12/100,"")</f>
      </c>
      <c r="D601" s="42">
        <f>IF((ROW()-3)&lt;=('首頁'!$B$8*12),IF(ROW()-3=('首頁'!$B$8*12),G601,MIN(G601,'首頁'!$B$13-C601)),"")</f>
      </c>
      <c r="E601" s="42">
        <f>IF((ROW()-3)&lt;=('首頁'!$B$8*12),G601-D601,"")</f>
      </c>
      <c r="G601" s="39">
        <f>IF((ROW()-3)&lt;=('首頁'!$B$8*12),E600,"")</f>
      </c>
    </row>
    <row r="602" ht="22" customHeight="1" spans="1:7" x14ac:dyDescent="0.25">
      <c r="A602" s="36">
        <f>IF((ROW()-3)&lt;=('首頁'!$B$8*12),ROW()-3,"")</f>
      </c>
      <c r="B602" s="37">
        <f>IF((ROW()-3)&lt;=('首頁'!$B$8*12),C602+D602,"")</f>
      </c>
      <c r="C602" s="38">
        <f>IF((ROW()-3)&lt;=('首頁'!$B$8*12),G602*'首頁'!$B$7/12/100,"")</f>
      </c>
      <c r="D602" s="38">
        <f>IF((ROW()-3)&lt;=('首頁'!$B$8*12),IF(ROW()-3=('首頁'!$B$8*12),G602,MIN(G602,'首頁'!$B$13-C602)),"")</f>
      </c>
      <c r="E602" s="38">
        <f>IF((ROW()-3)&lt;=('首頁'!$B$8*12),G602-D602,"")</f>
      </c>
      <c r="G602" s="39">
        <f>IF((ROW()-3)&lt;=('首頁'!$B$8*12),E601,"")</f>
      </c>
    </row>
    <row r="603" ht="22" customHeight="1" spans="1:7" x14ac:dyDescent="0.25">
      <c r="A603" s="40">
        <f>IF((ROW()-3)&lt;=('首頁'!$B$8*12),ROW()-3,"")</f>
      </c>
      <c r="B603" s="41">
        <f>IF((ROW()-3)&lt;=('首頁'!$B$8*12),C603+D603,"")</f>
      </c>
      <c r="C603" s="42">
        <f>IF((ROW()-3)&lt;=('首頁'!$B$8*12),G603*'首頁'!$B$7/12/100,"")</f>
      </c>
      <c r="D603" s="42">
        <f>IF((ROW()-3)&lt;=('首頁'!$B$8*12),IF(ROW()-3=('首頁'!$B$8*12),G603,MIN(G603,'首頁'!$B$13-C603)),"")</f>
      </c>
      <c r="E603" s="42">
        <f>IF((ROW()-3)&lt;=('首頁'!$B$8*12),G603-D603,"")</f>
      </c>
      <c r="G603" s="39">
        <f>IF((ROW()-3)&lt;=('首頁'!$B$8*12),E602,"")</f>
      </c>
    </row>
  </sheetData>
  <mergeCells count="2">
    <mergeCell ref="B1:E1"/>
    <mergeCell ref="A2:E2"/>
  </mergeCells>
  <hyperlinks>
    <hyperlink ref="A1" r:id="rId1" tooltip="返回首頁試算" location="#'首頁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G603"/>
  <sheetViews>
    <sheetView workbookViewId="0" zoomScale="100"/>
  </sheetViews>
  <sheetFormatPr defaultRowHeight="22" outlineLevelRow="0" outlineLevelCol="0" x14ac:dyDescent="55" customHeight="1"/>
  <cols>
    <col min="1" max="1" width="13" customWidth="1"/>
    <col min="2" max="5" width="14" customWidth="1"/>
    <col min="6" max="6" width="2" customWidth="1"/>
    <col min="7" max="7" width="12" hidden="1" customWidth="1"/>
  </cols>
  <sheetData>
    <row r="1" ht="28" customHeight="1" spans="1:7" x14ac:dyDescent="0.25">
      <c r="A1" s="43" t="s">
        <v>45</v>
      </c>
      <c r="B1" s="34" t="s">
        <v>54</v>
      </c>
      <c r="C1" s="34"/>
      <c r="D1" s="34"/>
      <c r="E1" s="34"/>
      <c r="G1" t="s">
        <v>55</v>
      </c>
    </row>
    <row r="2" ht="36" customHeight="1" spans="1:5" x14ac:dyDescent="0.25">
      <c r="A2" s="35" t="s">
        <v>48</v>
      </c>
      <c r="B2" s="35"/>
      <c r="C2" s="35"/>
      <c r="D2" s="35"/>
      <c r="E2" s="35"/>
    </row>
    <row r="3" ht="26" customHeight="1" spans="1:5" x14ac:dyDescent="0.25">
      <c r="A3" s="9" t="s">
        <v>49</v>
      </c>
      <c r="B3" s="10" t="s">
        <v>50</v>
      </c>
      <c r="C3" s="10" t="s">
        <v>51</v>
      </c>
      <c r="D3" s="10" t="s">
        <v>52</v>
      </c>
      <c r="E3" s="10" t="s">
        <v>53</v>
      </c>
    </row>
    <row r="4" ht="22" customHeight="1" spans="1:7" x14ac:dyDescent="0.25">
      <c r="A4" s="36">
        <f>IF((ROW()-3)&lt;=('首頁'!$B$8*12),ROW()-3,"")</f>
      </c>
      <c r="B4" s="37">
        <f>IF((ROW()-3)&lt;=('首頁'!$B$8*12),C4+D4,"")</f>
      </c>
      <c r="C4" s="38">
        <f>IF((ROW()-3)&lt;=('首頁'!$B$8*12),G4*'首頁'!$B$7/12/100,"")</f>
      </c>
      <c r="D4" s="38">
        <f>IF((ROW()-3)&lt;=('首頁'!$B$8*12),IF(ROW()-3=('首頁'!$B$8*12),G4,MIN(G4,'首頁'!$B$6/('首頁'!$B$8*12))),"")</f>
      </c>
      <c r="E4" s="38">
        <f>IF((ROW()-3)&lt;=('首頁'!$B$8*12),G4-D4,"")</f>
      </c>
      <c r="G4" s="39">
        <f>IF((ROW()-3)&lt;=('首頁'!$B$8*12),'首頁'!$B$6,"")</f>
      </c>
    </row>
    <row r="5" ht="22" customHeight="1" spans="1:7" x14ac:dyDescent="0.25">
      <c r="A5" s="40">
        <f>IF((ROW()-3)&lt;=('首頁'!$B$8*12),ROW()-3,"")</f>
      </c>
      <c r="B5" s="41">
        <f>IF((ROW()-3)&lt;=('首頁'!$B$8*12),C5+D5,"")</f>
      </c>
      <c r="C5" s="42">
        <f>IF((ROW()-3)&lt;=('首頁'!$B$8*12),G5*'首頁'!$B$7/12/100,"")</f>
      </c>
      <c r="D5" s="42">
        <f>IF((ROW()-3)&lt;=('首頁'!$B$8*12),IF(ROW()-3=('首頁'!$B$8*12),G5,MIN(G5,'首頁'!$B$6/('首頁'!$B$8*12))),"")</f>
      </c>
      <c r="E5" s="42">
        <f>IF((ROW()-3)&lt;=('首頁'!$B$8*12),G5-D5,"")</f>
      </c>
      <c r="G5" s="39">
        <f>IF((ROW()-3)&lt;=('首頁'!$B$8*12),E4,"")</f>
      </c>
    </row>
    <row r="6" ht="22" customHeight="1" spans="1:7" x14ac:dyDescent="0.25">
      <c r="A6" s="36">
        <f>IF((ROW()-3)&lt;=('首頁'!$B$8*12),ROW()-3,"")</f>
      </c>
      <c r="B6" s="37">
        <f>IF((ROW()-3)&lt;=('首頁'!$B$8*12),C6+D6,"")</f>
      </c>
      <c r="C6" s="38">
        <f>IF((ROW()-3)&lt;=('首頁'!$B$8*12),G6*'首頁'!$B$7/12/100,"")</f>
      </c>
      <c r="D6" s="38">
        <f>IF((ROW()-3)&lt;=('首頁'!$B$8*12),IF(ROW()-3=('首頁'!$B$8*12),G6,MIN(G6,'首頁'!$B$6/('首頁'!$B$8*12))),"")</f>
      </c>
      <c r="E6" s="38">
        <f>IF((ROW()-3)&lt;=('首頁'!$B$8*12),G6-D6,"")</f>
      </c>
      <c r="G6" s="39">
        <f>IF((ROW()-3)&lt;=('首頁'!$B$8*12),E5,"")</f>
      </c>
    </row>
    <row r="7" ht="22" customHeight="1" spans="1:7" x14ac:dyDescent="0.25">
      <c r="A7" s="40">
        <f>IF((ROW()-3)&lt;=('首頁'!$B$8*12),ROW()-3,"")</f>
      </c>
      <c r="B7" s="41">
        <f>IF((ROW()-3)&lt;=('首頁'!$B$8*12),C7+D7,"")</f>
      </c>
      <c r="C7" s="42">
        <f>IF((ROW()-3)&lt;=('首頁'!$B$8*12),G7*'首頁'!$B$7/12/100,"")</f>
      </c>
      <c r="D7" s="42">
        <f>IF((ROW()-3)&lt;=('首頁'!$B$8*12),IF(ROW()-3=('首頁'!$B$8*12),G7,MIN(G7,'首頁'!$B$6/('首頁'!$B$8*12))),"")</f>
      </c>
      <c r="E7" s="42">
        <f>IF((ROW()-3)&lt;=('首頁'!$B$8*12),G7-D7,"")</f>
      </c>
      <c r="G7" s="39">
        <f>IF((ROW()-3)&lt;=('首頁'!$B$8*12),E6,"")</f>
      </c>
    </row>
    <row r="8" ht="22" customHeight="1" spans="1:7" x14ac:dyDescent="0.25">
      <c r="A8" s="36">
        <f>IF((ROW()-3)&lt;=('首頁'!$B$8*12),ROW()-3,"")</f>
      </c>
      <c r="B8" s="37">
        <f>IF((ROW()-3)&lt;=('首頁'!$B$8*12),C8+D8,"")</f>
      </c>
      <c r="C8" s="38">
        <f>IF((ROW()-3)&lt;=('首頁'!$B$8*12),G8*'首頁'!$B$7/12/100,"")</f>
      </c>
      <c r="D8" s="38">
        <f>IF((ROW()-3)&lt;=('首頁'!$B$8*12),IF(ROW()-3=('首頁'!$B$8*12),G8,MIN(G8,'首頁'!$B$6/('首頁'!$B$8*12))),"")</f>
      </c>
      <c r="E8" s="38">
        <f>IF((ROW()-3)&lt;=('首頁'!$B$8*12),G8-D8,"")</f>
      </c>
      <c r="G8" s="39">
        <f>IF((ROW()-3)&lt;=('首頁'!$B$8*12),E7,"")</f>
      </c>
    </row>
    <row r="9" ht="22" customHeight="1" spans="1:7" x14ac:dyDescent="0.25">
      <c r="A9" s="40">
        <f>IF((ROW()-3)&lt;=('首頁'!$B$8*12),ROW()-3,"")</f>
      </c>
      <c r="B9" s="41">
        <f>IF((ROW()-3)&lt;=('首頁'!$B$8*12),C9+D9,"")</f>
      </c>
      <c r="C9" s="42">
        <f>IF((ROW()-3)&lt;=('首頁'!$B$8*12),G9*'首頁'!$B$7/12/100,"")</f>
      </c>
      <c r="D9" s="42">
        <f>IF((ROW()-3)&lt;=('首頁'!$B$8*12),IF(ROW()-3=('首頁'!$B$8*12),G9,MIN(G9,'首頁'!$B$6/('首頁'!$B$8*12))),"")</f>
      </c>
      <c r="E9" s="42">
        <f>IF((ROW()-3)&lt;=('首頁'!$B$8*12),G9-D9,"")</f>
      </c>
      <c r="G9" s="39">
        <f>IF((ROW()-3)&lt;=('首頁'!$B$8*12),E8,"")</f>
      </c>
    </row>
    <row r="10" ht="22" customHeight="1" spans="1:7" x14ac:dyDescent="0.25">
      <c r="A10" s="36">
        <f>IF((ROW()-3)&lt;=('首頁'!$B$8*12),ROW()-3,"")</f>
      </c>
      <c r="B10" s="37">
        <f>IF((ROW()-3)&lt;=('首頁'!$B$8*12),C10+D10,"")</f>
      </c>
      <c r="C10" s="38">
        <f>IF((ROW()-3)&lt;=('首頁'!$B$8*12),G10*'首頁'!$B$7/12/100,"")</f>
      </c>
      <c r="D10" s="38">
        <f>IF((ROW()-3)&lt;=('首頁'!$B$8*12),IF(ROW()-3=('首頁'!$B$8*12),G10,MIN(G10,'首頁'!$B$6/('首頁'!$B$8*12))),"")</f>
      </c>
      <c r="E10" s="38">
        <f>IF((ROW()-3)&lt;=('首頁'!$B$8*12),G10-D10,"")</f>
      </c>
      <c r="G10" s="39">
        <f>IF((ROW()-3)&lt;=('首頁'!$B$8*12),E9,"")</f>
      </c>
    </row>
    <row r="11" ht="22" customHeight="1" spans="1:7" x14ac:dyDescent="0.25">
      <c r="A11" s="40">
        <f>IF((ROW()-3)&lt;=('首頁'!$B$8*12),ROW()-3,"")</f>
      </c>
      <c r="B11" s="41">
        <f>IF((ROW()-3)&lt;=('首頁'!$B$8*12),C11+D11,"")</f>
      </c>
      <c r="C11" s="42">
        <f>IF((ROW()-3)&lt;=('首頁'!$B$8*12),G11*'首頁'!$B$7/12/100,"")</f>
      </c>
      <c r="D11" s="42">
        <f>IF((ROW()-3)&lt;=('首頁'!$B$8*12),IF(ROW()-3=('首頁'!$B$8*12),G11,MIN(G11,'首頁'!$B$6/('首頁'!$B$8*12))),"")</f>
      </c>
      <c r="E11" s="42">
        <f>IF((ROW()-3)&lt;=('首頁'!$B$8*12),G11-D11,"")</f>
      </c>
      <c r="G11" s="39">
        <f>IF((ROW()-3)&lt;=('首頁'!$B$8*12),E10,"")</f>
      </c>
    </row>
    <row r="12" ht="22" customHeight="1" spans="1:7" x14ac:dyDescent="0.25">
      <c r="A12" s="36">
        <f>IF((ROW()-3)&lt;=('首頁'!$B$8*12),ROW()-3,"")</f>
      </c>
      <c r="B12" s="37">
        <f>IF((ROW()-3)&lt;=('首頁'!$B$8*12),C12+D12,"")</f>
      </c>
      <c r="C12" s="38">
        <f>IF((ROW()-3)&lt;=('首頁'!$B$8*12),G12*'首頁'!$B$7/12/100,"")</f>
      </c>
      <c r="D12" s="38">
        <f>IF((ROW()-3)&lt;=('首頁'!$B$8*12),IF(ROW()-3=('首頁'!$B$8*12),G12,MIN(G12,'首頁'!$B$6/('首頁'!$B$8*12))),"")</f>
      </c>
      <c r="E12" s="38">
        <f>IF((ROW()-3)&lt;=('首頁'!$B$8*12),G12-D12,"")</f>
      </c>
      <c r="G12" s="39">
        <f>IF((ROW()-3)&lt;=('首頁'!$B$8*12),E11,"")</f>
      </c>
    </row>
    <row r="13" ht="22" customHeight="1" spans="1:7" x14ac:dyDescent="0.25">
      <c r="A13" s="40">
        <f>IF((ROW()-3)&lt;=('首頁'!$B$8*12),ROW()-3,"")</f>
      </c>
      <c r="B13" s="41">
        <f>IF((ROW()-3)&lt;=('首頁'!$B$8*12),C13+D13,"")</f>
      </c>
      <c r="C13" s="42">
        <f>IF((ROW()-3)&lt;=('首頁'!$B$8*12),G13*'首頁'!$B$7/12/100,"")</f>
      </c>
      <c r="D13" s="42">
        <f>IF((ROW()-3)&lt;=('首頁'!$B$8*12),IF(ROW()-3=('首頁'!$B$8*12),G13,MIN(G13,'首頁'!$B$6/('首頁'!$B$8*12))),"")</f>
      </c>
      <c r="E13" s="42">
        <f>IF((ROW()-3)&lt;=('首頁'!$B$8*12),G13-D13,"")</f>
      </c>
      <c r="G13" s="39">
        <f>IF((ROW()-3)&lt;=('首頁'!$B$8*12),E12,"")</f>
      </c>
    </row>
    <row r="14" ht="22" customHeight="1" spans="1:7" x14ac:dyDescent="0.25">
      <c r="A14" s="36">
        <f>IF((ROW()-3)&lt;=('首頁'!$B$8*12),ROW()-3,"")</f>
      </c>
      <c r="B14" s="37">
        <f>IF((ROW()-3)&lt;=('首頁'!$B$8*12),C14+D14,"")</f>
      </c>
      <c r="C14" s="38">
        <f>IF((ROW()-3)&lt;=('首頁'!$B$8*12),G14*'首頁'!$B$7/12/100,"")</f>
      </c>
      <c r="D14" s="38">
        <f>IF((ROW()-3)&lt;=('首頁'!$B$8*12),IF(ROW()-3=('首頁'!$B$8*12),G14,MIN(G14,'首頁'!$B$6/('首頁'!$B$8*12))),"")</f>
      </c>
      <c r="E14" s="38">
        <f>IF((ROW()-3)&lt;=('首頁'!$B$8*12),G14-D14,"")</f>
      </c>
      <c r="G14" s="39">
        <f>IF((ROW()-3)&lt;=('首頁'!$B$8*12),E13,"")</f>
      </c>
    </row>
    <row r="15" ht="22" customHeight="1" spans="1:7" x14ac:dyDescent="0.25">
      <c r="A15" s="40">
        <f>IF((ROW()-3)&lt;=('首頁'!$B$8*12),ROW()-3,"")</f>
      </c>
      <c r="B15" s="41">
        <f>IF((ROW()-3)&lt;=('首頁'!$B$8*12),C15+D15,"")</f>
      </c>
      <c r="C15" s="42">
        <f>IF((ROW()-3)&lt;=('首頁'!$B$8*12),G15*'首頁'!$B$7/12/100,"")</f>
      </c>
      <c r="D15" s="42">
        <f>IF((ROW()-3)&lt;=('首頁'!$B$8*12),IF(ROW()-3=('首頁'!$B$8*12),G15,MIN(G15,'首頁'!$B$6/('首頁'!$B$8*12))),"")</f>
      </c>
      <c r="E15" s="42">
        <f>IF((ROW()-3)&lt;=('首頁'!$B$8*12),G15-D15,"")</f>
      </c>
      <c r="G15" s="39">
        <f>IF((ROW()-3)&lt;=('首頁'!$B$8*12),E14,"")</f>
      </c>
    </row>
    <row r="16" ht="22" customHeight="1" spans="1:7" x14ac:dyDescent="0.25">
      <c r="A16" s="36">
        <f>IF((ROW()-3)&lt;=('首頁'!$B$8*12),ROW()-3,"")</f>
      </c>
      <c r="B16" s="37">
        <f>IF((ROW()-3)&lt;=('首頁'!$B$8*12),C16+D16,"")</f>
      </c>
      <c r="C16" s="38">
        <f>IF((ROW()-3)&lt;=('首頁'!$B$8*12),G16*'首頁'!$B$7/12/100,"")</f>
      </c>
      <c r="D16" s="38">
        <f>IF((ROW()-3)&lt;=('首頁'!$B$8*12),IF(ROW()-3=('首頁'!$B$8*12),G16,MIN(G16,'首頁'!$B$6/('首頁'!$B$8*12))),"")</f>
      </c>
      <c r="E16" s="38">
        <f>IF((ROW()-3)&lt;=('首頁'!$B$8*12),G16-D16,"")</f>
      </c>
      <c r="G16" s="39">
        <f>IF((ROW()-3)&lt;=('首頁'!$B$8*12),E15,"")</f>
      </c>
    </row>
    <row r="17" ht="22" customHeight="1" spans="1:7" x14ac:dyDescent="0.25">
      <c r="A17" s="40">
        <f>IF((ROW()-3)&lt;=('首頁'!$B$8*12),ROW()-3,"")</f>
      </c>
      <c r="B17" s="41">
        <f>IF((ROW()-3)&lt;=('首頁'!$B$8*12),C17+D17,"")</f>
      </c>
      <c r="C17" s="42">
        <f>IF((ROW()-3)&lt;=('首頁'!$B$8*12),G17*'首頁'!$B$7/12/100,"")</f>
      </c>
      <c r="D17" s="42">
        <f>IF((ROW()-3)&lt;=('首頁'!$B$8*12),IF(ROW()-3=('首頁'!$B$8*12),G17,MIN(G17,'首頁'!$B$6/('首頁'!$B$8*12))),"")</f>
      </c>
      <c r="E17" s="42">
        <f>IF((ROW()-3)&lt;=('首頁'!$B$8*12),G17-D17,"")</f>
      </c>
      <c r="G17" s="39">
        <f>IF((ROW()-3)&lt;=('首頁'!$B$8*12),E16,"")</f>
      </c>
    </row>
    <row r="18" ht="22" customHeight="1" spans="1:7" x14ac:dyDescent="0.25">
      <c r="A18" s="36">
        <f>IF((ROW()-3)&lt;=('首頁'!$B$8*12),ROW()-3,"")</f>
      </c>
      <c r="B18" s="37">
        <f>IF((ROW()-3)&lt;=('首頁'!$B$8*12),C18+D18,"")</f>
      </c>
      <c r="C18" s="38">
        <f>IF((ROW()-3)&lt;=('首頁'!$B$8*12),G18*'首頁'!$B$7/12/100,"")</f>
      </c>
      <c r="D18" s="38">
        <f>IF((ROW()-3)&lt;=('首頁'!$B$8*12),IF(ROW()-3=('首頁'!$B$8*12),G18,MIN(G18,'首頁'!$B$6/('首頁'!$B$8*12))),"")</f>
      </c>
      <c r="E18" s="38">
        <f>IF((ROW()-3)&lt;=('首頁'!$B$8*12),G18-D18,"")</f>
      </c>
      <c r="G18" s="39">
        <f>IF((ROW()-3)&lt;=('首頁'!$B$8*12),E17,"")</f>
      </c>
    </row>
    <row r="19" ht="22" customHeight="1" spans="1:7" x14ac:dyDescent="0.25">
      <c r="A19" s="40">
        <f>IF((ROW()-3)&lt;=('首頁'!$B$8*12),ROW()-3,"")</f>
      </c>
      <c r="B19" s="41">
        <f>IF((ROW()-3)&lt;=('首頁'!$B$8*12),C19+D19,"")</f>
      </c>
      <c r="C19" s="42">
        <f>IF((ROW()-3)&lt;=('首頁'!$B$8*12),G19*'首頁'!$B$7/12/100,"")</f>
      </c>
      <c r="D19" s="42">
        <f>IF((ROW()-3)&lt;=('首頁'!$B$8*12),IF(ROW()-3=('首頁'!$B$8*12),G19,MIN(G19,'首頁'!$B$6/('首頁'!$B$8*12))),"")</f>
      </c>
      <c r="E19" s="42">
        <f>IF((ROW()-3)&lt;=('首頁'!$B$8*12),G19-D19,"")</f>
      </c>
      <c r="G19" s="39">
        <f>IF((ROW()-3)&lt;=('首頁'!$B$8*12),E18,"")</f>
      </c>
    </row>
    <row r="20" ht="22" customHeight="1" spans="1:7" x14ac:dyDescent="0.25">
      <c r="A20" s="36">
        <f>IF((ROW()-3)&lt;=('首頁'!$B$8*12),ROW()-3,"")</f>
      </c>
      <c r="B20" s="37">
        <f>IF((ROW()-3)&lt;=('首頁'!$B$8*12),C20+D20,"")</f>
      </c>
      <c r="C20" s="38">
        <f>IF((ROW()-3)&lt;=('首頁'!$B$8*12),G20*'首頁'!$B$7/12/100,"")</f>
      </c>
      <c r="D20" s="38">
        <f>IF((ROW()-3)&lt;=('首頁'!$B$8*12),IF(ROW()-3=('首頁'!$B$8*12),G20,MIN(G20,'首頁'!$B$6/('首頁'!$B$8*12))),"")</f>
      </c>
      <c r="E20" s="38">
        <f>IF((ROW()-3)&lt;=('首頁'!$B$8*12),G20-D20,"")</f>
      </c>
      <c r="G20" s="39">
        <f>IF((ROW()-3)&lt;=('首頁'!$B$8*12),E19,"")</f>
      </c>
    </row>
    <row r="21" ht="22" customHeight="1" spans="1:7" x14ac:dyDescent="0.25">
      <c r="A21" s="40">
        <f>IF((ROW()-3)&lt;=('首頁'!$B$8*12),ROW()-3,"")</f>
      </c>
      <c r="B21" s="41">
        <f>IF((ROW()-3)&lt;=('首頁'!$B$8*12),C21+D21,"")</f>
      </c>
      <c r="C21" s="42">
        <f>IF((ROW()-3)&lt;=('首頁'!$B$8*12),G21*'首頁'!$B$7/12/100,"")</f>
      </c>
      <c r="D21" s="42">
        <f>IF((ROW()-3)&lt;=('首頁'!$B$8*12),IF(ROW()-3=('首頁'!$B$8*12),G21,MIN(G21,'首頁'!$B$6/('首頁'!$B$8*12))),"")</f>
      </c>
      <c r="E21" s="42">
        <f>IF((ROW()-3)&lt;=('首頁'!$B$8*12),G21-D21,"")</f>
      </c>
      <c r="G21" s="39">
        <f>IF((ROW()-3)&lt;=('首頁'!$B$8*12),E20,"")</f>
      </c>
    </row>
    <row r="22" ht="22" customHeight="1" spans="1:7" x14ac:dyDescent="0.25">
      <c r="A22" s="36">
        <f>IF((ROW()-3)&lt;=('首頁'!$B$8*12),ROW()-3,"")</f>
      </c>
      <c r="B22" s="37">
        <f>IF((ROW()-3)&lt;=('首頁'!$B$8*12),C22+D22,"")</f>
      </c>
      <c r="C22" s="38">
        <f>IF((ROW()-3)&lt;=('首頁'!$B$8*12),G22*'首頁'!$B$7/12/100,"")</f>
      </c>
      <c r="D22" s="38">
        <f>IF((ROW()-3)&lt;=('首頁'!$B$8*12),IF(ROW()-3=('首頁'!$B$8*12),G22,MIN(G22,'首頁'!$B$6/('首頁'!$B$8*12))),"")</f>
      </c>
      <c r="E22" s="38">
        <f>IF((ROW()-3)&lt;=('首頁'!$B$8*12),G22-D22,"")</f>
      </c>
      <c r="G22" s="39">
        <f>IF((ROW()-3)&lt;=('首頁'!$B$8*12),E21,"")</f>
      </c>
    </row>
    <row r="23" ht="22" customHeight="1" spans="1:7" x14ac:dyDescent="0.25">
      <c r="A23" s="40">
        <f>IF((ROW()-3)&lt;=('首頁'!$B$8*12),ROW()-3,"")</f>
      </c>
      <c r="B23" s="41">
        <f>IF((ROW()-3)&lt;=('首頁'!$B$8*12),C23+D23,"")</f>
      </c>
      <c r="C23" s="42">
        <f>IF((ROW()-3)&lt;=('首頁'!$B$8*12),G23*'首頁'!$B$7/12/100,"")</f>
      </c>
      <c r="D23" s="42">
        <f>IF((ROW()-3)&lt;=('首頁'!$B$8*12),IF(ROW()-3=('首頁'!$B$8*12),G23,MIN(G23,'首頁'!$B$6/('首頁'!$B$8*12))),"")</f>
      </c>
      <c r="E23" s="42">
        <f>IF((ROW()-3)&lt;=('首頁'!$B$8*12),G23-D23,"")</f>
      </c>
      <c r="G23" s="39">
        <f>IF((ROW()-3)&lt;=('首頁'!$B$8*12),E22,"")</f>
      </c>
    </row>
    <row r="24" ht="22" customHeight="1" spans="1:7" x14ac:dyDescent="0.25">
      <c r="A24" s="36">
        <f>IF((ROW()-3)&lt;=('首頁'!$B$8*12),ROW()-3,"")</f>
      </c>
      <c r="B24" s="37">
        <f>IF((ROW()-3)&lt;=('首頁'!$B$8*12),C24+D24,"")</f>
      </c>
      <c r="C24" s="38">
        <f>IF((ROW()-3)&lt;=('首頁'!$B$8*12),G24*'首頁'!$B$7/12/100,"")</f>
      </c>
      <c r="D24" s="38">
        <f>IF((ROW()-3)&lt;=('首頁'!$B$8*12),IF(ROW()-3=('首頁'!$B$8*12),G24,MIN(G24,'首頁'!$B$6/('首頁'!$B$8*12))),"")</f>
      </c>
      <c r="E24" s="38">
        <f>IF((ROW()-3)&lt;=('首頁'!$B$8*12),G24-D24,"")</f>
      </c>
      <c r="G24" s="39">
        <f>IF((ROW()-3)&lt;=('首頁'!$B$8*12),E23,"")</f>
      </c>
    </row>
    <row r="25" ht="22" customHeight="1" spans="1:7" x14ac:dyDescent="0.25">
      <c r="A25" s="40">
        <f>IF((ROW()-3)&lt;=('首頁'!$B$8*12),ROW()-3,"")</f>
      </c>
      <c r="B25" s="41">
        <f>IF((ROW()-3)&lt;=('首頁'!$B$8*12),C25+D25,"")</f>
      </c>
      <c r="C25" s="42">
        <f>IF((ROW()-3)&lt;=('首頁'!$B$8*12),G25*'首頁'!$B$7/12/100,"")</f>
      </c>
      <c r="D25" s="42">
        <f>IF((ROW()-3)&lt;=('首頁'!$B$8*12),IF(ROW()-3=('首頁'!$B$8*12),G25,MIN(G25,'首頁'!$B$6/('首頁'!$B$8*12))),"")</f>
      </c>
      <c r="E25" s="42">
        <f>IF((ROW()-3)&lt;=('首頁'!$B$8*12),G25-D25,"")</f>
      </c>
      <c r="G25" s="39">
        <f>IF((ROW()-3)&lt;=('首頁'!$B$8*12),E24,"")</f>
      </c>
    </row>
    <row r="26" ht="22" customHeight="1" spans="1:7" x14ac:dyDescent="0.25">
      <c r="A26" s="36">
        <f>IF((ROW()-3)&lt;=('首頁'!$B$8*12),ROW()-3,"")</f>
      </c>
      <c r="B26" s="37">
        <f>IF((ROW()-3)&lt;=('首頁'!$B$8*12),C26+D26,"")</f>
      </c>
      <c r="C26" s="38">
        <f>IF((ROW()-3)&lt;=('首頁'!$B$8*12),G26*'首頁'!$B$7/12/100,"")</f>
      </c>
      <c r="D26" s="38">
        <f>IF((ROW()-3)&lt;=('首頁'!$B$8*12),IF(ROW()-3=('首頁'!$B$8*12),G26,MIN(G26,'首頁'!$B$6/('首頁'!$B$8*12))),"")</f>
      </c>
      <c r="E26" s="38">
        <f>IF((ROW()-3)&lt;=('首頁'!$B$8*12),G26-D26,"")</f>
      </c>
      <c r="G26" s="39">
        <f>IF((ROW()-3)&lt;=('首頁'!$B$8*12),E25,"")</f>
      </c>
    </row>
    <row r="27" ht="22" customHeight="1" spans="1:7" x14ac:dyDescent="0.25">
      <c r="A27" s="40">
        <f>IF((ROW()-3)&lt;=('首頁'!$B$8*12),ROW()-3,"")</f>
      </c>
      <c r="B27" s="41">
        <f>IF((ROW()-3)&lt;=('首頁'!$B$8*12),C27+D27,"")</f>
      </c>
      <c r="C27" s="42">
        <f>IF((ROW()-3)&lt;=('首頁'!$B$8*12),G27*'首頁'!$B$7/12/100,"")</f>
      </c>
      <c r="D27" s="42">
        <f>IF((ROW()-3)&lt;=('首頁'!$B$8*12),IF(ROW()-3=('首頁'!$B$8*12),G27,MIN(G27,'首頁'!$B$6/('首頁'!$B$8*12))),"")</f>
      </c>
      <c r="E27" s="42">
        <f>IF((ROW()-3)&lt;=('首頁'!$B$8*12),G27-D27,"")</f>
      </c>
      <c r="G27" s="39">
        <f>IF((ROW()-3)&lt;=('首頁'!$B$8*12),E26,"")</f>
      </c>
    </row>
    <row r="28" ht="22" customHeight="1" spans="1:7" x14ac:dyDescent="0.25">
      <c r="A28" s="36">
        <f>IF((ROW()-3)&lt;=('首頁'!$B$8*12),ROW()-3,"")</f>
      </c>
      <c r="B28" s="37">
        <f>IF((ROW()-3)&lt;=('首頁'!$B$8*12),C28+D28,"")</f>
      </c>
      <c r="C28" s="38">
        <f>IF((ROW()-3)&lt;=('首頁'!$B$8*12),G28*'首頁'!$B$7/12/100,"")</f>
      </c>
      <c r="D28" s="38">
        <f>IF((ROW()-3)&lt;=('首頁'!$B$8*12),IF(ROW()-3=('首頁'!$B$8*12),G28,MIN(G28,'首頁'!$B$6/('首頁'!$B$8*12))),"")</f>
      </c>
      <c r="E28" s="38">
        <f>IF((ROW()-3)&lt;=('首頁'!$B$8*12),G28-D28,"")</f>
      </c>
      <c r="G28" s="39">
        <f>IF((ROW()-3)&lt;=('首頁'!$B$8*12),E27,"")</f>
      </c>
    </row>
    <row r="29" ht="22" customHeight="1" spans="1:7" x14ac:dyDescent="0.25">
      <c r="A29" s="40">
        <f>IF((ROW()-3)&lt;=('首頁'!$B$8*12),ROW()-3,"")</f>
      </c>
      <c r="B29" s="41">
        <f>IF((ROW()-3)&lt;=('首頁'!$B$8*12),C29+D29,"")</f>
      </c>
      <c r="C29" s="42">
        <f>IF((ROW()-3)&lt;=('首頁'!$B$8*12),G29*'首頁'!$B$7/12/100,"")</f>
      </c>
      <c r="D29" s="42">
        <f>IF((ROW()-3)&lt;=('首頁'!$B$8*12),IF(ROW()-3=('首頁'!$B$8*12),G29,MIN(G29,'首頁'!$B$6/('首頁'!$B$8*12))),"")</f>
      </c>
      <c r="E29" s="42">
        <f>IF((ROW()-3)&lt;=('首頁'!$B$8*12),G29-D29,"")</f>
      </c>
      <c r="G29" s="39">
        <f>IF((ROW()-3)&lt;=('首頁'!$B$8*12),E28,"")</f>
      </c>
    </row>
    <row r="30" ht="22" customHeight="1" spans="1:7" x14ac:dyDescent="0.25">
      <c r="A30" s="36">
        <f>IF((ROW()-3)&lt;=('首頁'!$B$8*12),ROW()-3,"")</f>
      </c>
      <c r="B30" s="37">
        <f>IF((ROW()-3)&lt;=('首頁'!$B$8*12),C30+D30,"")</f>
      </c>
      <c r="C30" s="38">
        <f>IF((ROW()-3)&lt;=('首頁'!$B$8*12),G30*'首頁'!$B$7/12/100,"")</f>
      </c>
      <c r="D30" s="38">
        <f>IF((ROW()-3)&lt;=('首頁'!$B$8*12),IF(ROW()-3=('首頁'!$B$8*12),G30,MIN(G30,'首頁'!$B$6/('首頁'!$B$8*12))),"")</f>
      </c>
      <c r="E30" s="38">
        <f>IF((ROW()-3)&lt;=('首頁'!$B$8*12),G30-D30,"")</f>
      </c>
      <c r="G30" s="39">
        <f>IF((ROW()-3)&lt;=('首頁'!$B$8*12),E29,"")</f>
      </c>
    </row>
    <row r="31" ht="22" customHeight="1" spans="1:7" x14ac:dyDescent="0.25">
      <c r="A31" s="40">
        <f>IF((ROW()-3)&lt;=('首頁'!$B$8*12),ROW()-3,"")</f>
      </c>
      <c r="B31" s="41">
        <f>IF((ROW()-3)&lt;=('首頁'!$B$8*12),C31+D31,"")</f>
      </c>
      <c r="C31" s="42">
        <f>IF((ROW()-3)&lt;=('首頁'!$B$8*12),G31*'首頁'!$B$7/12/100,"")</f>
      </c>
      <c r="D31" s="42">
        <f>IF((ROW()-3)&lt;=('首頁'!$B$8*12),IF(ROW()-3=('首頁'!$B$8*12),G31,MIN(G31,'首頁'!$B$6/('首頁'!$B$8*12))),"")</f>
      </c>
      <c r="E31" s="42">
        <f>IF((ROW()-3)&lt;=('首頁'!$B$8*12),G31-D31,"")</f>
      </c>
      <c r="G31" s="39">
        <f>IF((ROW()-3)&lt;=('首頁'!$B$8*12),E30,"")</f>
      </c>
    </row>
    <row r="32" ht="22" customHeight="1" spans="1:7" x14ac:dyDescent="0.25">
      <c r="A32" s="36">
        <f>IF((ROW()-3)&lt;=('首頁'!$B$8*12),ROW()-3,"")</f>
      </c>
      <c r="B32" s="37">
        <f>IF((ROW()-3)&lt;=('首頁'!$B$8*12),C32+D32,"")</f>
      </c>
      <c r="C32" s="38">
        <f>IF((ROW()-3)&lt;=('首頁'!$B$8*12),G32*'首頁'!$B$7/12/100,"")</f>
      </c>
      <c r="D32" s="38">
        <f>IF((ROW()-3)&lt;=('首頁'!$B$8*12),IF(ROW()-3=('首頁'!$B$8*12),G32,MIN(G32,'首頁'!$B$6/('首頁'!$B$8*12))),"")</f>
      </c>
      <c r="E32" s="38">
        <f>IF((ROW()-3)&lt;=('首頁'!$B$8*12),G32-D32,"")</f>
      </c>
      <c r="G32" s="39">
        <f>IF((ROW()-3)&lt;=('首頁'!$B$8*12),E31,"")</f>
      </c>
    </row>
    <row r="33" ht="22" customHeight="1" spans="1:7" x14ac:dyDescent="0.25">
      <c r="A33" s="40">
        <f>IF((ROW()-3)&lt;=('首頁'!$B$8*12),ROW()-3,"")</f>
      </c>
      <c r="B33" s="41">
        <f>IF((ROW()-3)&lt;=('首頁'!$B$8*12),C33+D33,"")</f>
      </c>
      <c r="C33" s="42">
        <f>IF((ROW()-3)&lt;=('首頁'!$B$8*12),G33*'首頁'!$B$7/12/100,"")</f>
      </c>
      <c r="D33" s="42">
        <f>IF((ROW()-3)&lt;=('首頁'!$B$8*12),IF(ROW()-3=('首頁'!$B$8*12),G33,MIN(G33,'首頁'!$B$6/('首頁'!$B$8*12))),"")</f>
      </c>
      <c r="E33" s="42">
        <f>IF((ROW()-3)&lt;=('首頁'!$B$8*12),G33-D33,"")</f>
      </c>
      <c r="G33" s="39">
        <f>IF((ROW()-3)&lt;=('首頁'!$B$8*12),E32,"")</f>
      </c>
    </row>
    <row r="34" ht="22" customHeight="1" spans="1:7" x14ac:dyDescent="0.25">
      <c r="A34" s="36">
        <f>IF((ROW()-3)&lt;=('首頁'!$B$8*12),ROW()-3,"")</f>
      </c>
      <c r="B34" s="37">
        <f>IF((ROW()-3)&lt;=('首頁'!$B$8*12),C34+D34,"")</f>
      </c>
      <c r="C34" s="38">
        <f>IF((ROW()-3)&lt;=('首頁'!$B$8*12),G34*'首頁'!$B$7/12/100,"")</f>
      </c>
      <c r="D34" s="38">
        <f>IF((ROW()-3)&lt;=('首頁'!$B$8*12),IF(ROW()-3=('首頁'!$B$8*12),G34,MIN(G34,'首頁'!$B$6/('首頁'!$B$8*12))),"")</f>
      </c>
      <c r="E34" s="38">
        <f>IF((ROW()-3)&lt;=('首頁'!$B$8*12),G34-D34,"")</f>
      </c>
      <c r="G34" s="39">
        <f>IF((ROW()-3)&lt;=('首頁'!$B$8*12),E33,"")</f>
      </c>
    </row>
    <row r="35" ht="22" customHeight="1" spans="1:7" x14ac:dyDescent="0.25">
      <c r="A35" s="40">
        <f>IF((ROW()-3)&lt;=('首頁'!$B$8*12),ROW()-3,"")</f>
      </c>
      <c r="B35" s="41">
        <f>IF((ROW()-3)&lt;=('首頁'!$B$8*12),C35+D35,"")</f>
      </c>
      <c r="C35" s="42">
        <f>IF((ROW()-3)&lt;=('首頁'!$B$8*12),G35*'首頁'!$B$7/12/100,"")</f>
      </c>
      <c r="D35" s="42">
        <f>IF((ROW()-3)&lt;=('首頁'!$B$8*12),IF(ROW()-3=('首頁'!$B$8*12),G35,MIN(G35,'首頁'!$B$6/('首頁'!$B$8*12))),"")</f>
      </c>
      <c r="E35" s="42">
        <f>IF((ROW()-3)&lt;=('首頁'!$B$8*12),G35-D35,"")</f>
      </c>
      <c r="G35" s="39">
        <f>IF((ROW()-3)&lt;=('首頁'!$B$8*12),E34,"")</f>
      </c>
    </row>
    <row r="36" ht="22" customHeight="1" spans="1:7" x14ac:dyDescent="0.25">
      <c r="A36" s="36">
        <f>IF((ROW()-3)&lt;=('首頁'!$B$8*12),ROW()-3,"")</f>
      </c>
      <c r="B36" s="37">
        <f>IF((ROW()-3)&lt;=('首頁'!$B$8*12),C36+D36,"")</f>
      </c>
      <c r="C36" s="38">
        <f>IF((ROW()-3)&lt;=('首頁'!$B$8*12),G36*'首頁'!$B$7/12/100,"")</f>
      </c>
      <c r="D36" s="38">
        <f>IF((ROW()-3)&lt;=('首頁'!$B$8*12),IF(ROW()-3=('首頁'!$B$8*12),G36,MIN(G36,'首頁'!$B$6/('首頁'!$B$8*12))),"")</f>
      </c>
      <c r="E36" s="38">
        <f>IF((ROW()-3)&lt;=('首頁'!$B$8*12),G36-D36,"")</f>
      </c>
      <c r="G36" s="39">
        <f>IF((ROW()-3)&lt;=('首頁'!$B$8*12),E35,"")</f>
      </c>
    </row>
    <row r="37" ht="22" customHeight="1" spans="1:7" x14ac:dyDescent="0.25">
      <c r="A37" s="40">
        <f>IF((ROW()-3)&lt;=('首頁'!$B$8*12),ROW()-3,"")</f>
      </c>
      <c r="B37" s="41">
        <f>IF((ROW()-3)&lt;=('首頁'!$B$8*12),C37+D37,"")</f>
      </c>
      <c r="C37" s="42">
        <f>IF((ROW()-3)&lt;=('首頁'!$B$8*12),G37*'首頁'!$B$7/12/100,"")</f>
      </c>
      <c r="D37" s="42">
        <f>IF((ROW()-3)&lt;=('首頁'!$B$8*12),IF(ROW()-3=('首頁'!$B$8*12),G37,MIN(G37,'首頁'!$B$6/('首頁'!$B$8*12))),"")</f>
      </c>
      <c r="E37" s="42">
        <f>IF((ROW()-3)&lt;=('首頁'!$B$8*12),G37-D37,"")</f>
      </c>
      <c r="G37" s="39">
        <f>IF((ROW()-3)&lt;=('首頁'!$B$8*12),E36,"")</f>
      </c>
    </row>
    <row r="38" ht="22" customHeight="1" spans="1:7" x14ac:dyDescent="0.25">
      <c r="A38" s="36">
        <f>IF((ROW()-3)&lt;=('首頁'!$B$8*12),ROW()-3,"")</f>
      </c>
      <c r="B38" s="37">
        <f>IF((ROW()-3)&lt;=('首頁'!$B$8*12),C38+D38,"")</f>
      </c>
      <c r="C38" s="38">
        <f>IF((ROW()-3)&lt;=('首頁'!$B$8*12),G38*'首頁'!$B$7/12/100,"")</f>
      </c>
      <c r="D38" s="38">
        <f>IF((ROW()-3)&lt;=('首頁'!$B$8*12),IF(ROW()-3=('首頁'!$B$8*12),G38,MIN(G38,'首頁'!$B$6/('首頁'!$B$8*12))),"")</f>
      </c>
      <c r="E38" s="38">
        <f>IF((ROW()-3)&lt;=('首頁'!$B$8*12),G38-D38,"")</f>
      </c>
      <c r="G38" s="39">
        <f>IF((ROW()-3)&lt;=('首頁'!$B$8*12),E37,"")</f>
      </c>
    </row>
    <row r="39" ht="22" customHeight="1" spans="1:7" x14ac:dyDescent="0.25">
      <c r="A39" s="40">
        <f>IF((ROW()-3)&lt;=('首頁'!$B$8*12),ROW()-3,"")</f>
      </c>
      <c r="B39" s="41">
        <f>IF((ROW()-3)&lt;=('首頁'!$B$8*12),C39+D39,"")</f>
      </c>
      <c r="C39" s="42">
        <f>IF((ROW()-3)&lt;=('首頁'!$B$8*12),G39*'首頁'!$B$7/12/100,"")</f>
      </c>
      <c r="D39" s="42">
        <f>IF((ROW()-3)&lt;=('首頁'!$B$8*12),IF(ROW()-3=('首頁'!$B$8*12),G39,MIN(G39,'首頁'!$B$6/('首頁'!$B$8*12))),"")</f>
      </c>
      <c r="E39" s="42">
        <f>IF((ROW()-3)&lt;=('首頁'!$B$8*12),G39-D39,"")</f>
      </c>
      <c r="G39" s="39">
        <f>IF((ROW()-3)&lt;=('首頁'!$B$8*12),E38,"")</f>
      </c>
    </row>
    <row r="40" ht="22" customHeight="1" spans="1:7" x14ac:dyDescent="0.25">
      <c r="A40" s="36">
        <f>IF((ROW()-3)&lt;=('首頁'!$B$8*12),ROW()-3,"")</f>
      </c>
      <c r="B40" s="37">
        <f>IF((ROW()-3)&lt;=('首頁'!$B$8*12),C40+D40,"")</f>
      </c>
      <c r="C40" s="38">
        <f>IF((ROW()-3)&lt;=('首頁'!$B$8*12),G40*'首頁'!$B$7/12/100,"")</f>
      </c>
      <c r="D40" s="38">
        <f>IF((ROW()-3)&lt;=('首頁'!$B$8*12),IF(ROW()-3=('首頁'!$B$8*12),G40,MIN(G40,'首頁'!$B$6/('首頁'!$B$8*12))),"")</f>
      </c>
      <c r="E40" s="38">
        <f>IF((ROW()-3)&lt;=('首頁'!$B$8*12),G40-D40,"")</f>
      </c>
      <c r="G40" s="39">
        <f>IF((ROW()-3)&lt;=('首頁'!$B$8*12),E39,"")</f>
      </c>
    </row>
    <row r="41" ht="22" customHeight="1" spans="1:7" x14ac:dyDescent="0.25">
      <c r="A41" s="40">
        <f>IF((ROW()-3)&lt;=('首頁'!$B$8*12),ROW()-3,"")</f>
      </c>
      <c r="B41" s="41">
        <f>IF((ROW()-3)&lt;=('首頁'!$B$8*12),C41+D41,"")</f>
      </c>
      <c r="C41" s="42">
        <f>IF((ROW()-3)&lt;=('首頁'!$B$8*12),G41*'首頁'!$B$7/12/100,"")</f>
      </c>
      <c r="D41" s="42">
        <f>IF((ROW()-3)&lt;=('首頁'!$B$8*12),IF(ROW()-3=('首頁'!$B$8*12),G41,MIN(G41,'首頁'!$B$6/('首頁'!$B$8*12))),"")</f>
      </c>
      <c r="E41" s="42">
        <f>IF((ROW()-3)&lt;=('首頁'!$B$8*12),G41-D41,"")</f>
      </c>
      <c r="G41" s="39">
        <f>IF((ROW()-3)&lt;=('首頁'!$B$8*12),E40,"")</f>
      </c>
    </row>
    <row r="42" ht="22" customHeight="1" spans="1:7" x14ac:dyDescent="0.25">
      <c r="A42" s="36">
        <f>IF((ROW()-3)&lt;=('首頁'!$B$8*12),ROW()-3,"")</f>
      </c>
      <c r="B42" s="37">
        <f>IF((ROW()-3)&lt;=('首頁'!$B$8*12),C42+D42,"")</f>
      </c>
      <c r="C42" s="38">
        <f>IF((ROW()-3)&lt;=('首頁'!$B$8*12),G42*'首頁'!$B$7/12/100,"")</f>
      </c>
      <c r="D42" s="38">
        <f>IF((ROW()-3)&lt;=('首頁'!$B$8*12),IF(ROW()-3=('首頁'!$B$8*12),G42,MIN(G42,'首頁'!$B$6/('首頁'!$B$8*12))),"")</f>
      </c>
      <c r="E42" s="38">
        <f>IF((ROW()-3)&lt;=('首頁'!$B$8*12),G42-D42,"")</f>
      </c>
      <c r="G42" s="39">
        <f>IF((ROW()-3)&lt;=('首頁'!$B$8*12),E41,"")</f>
      </c>
    </row>
    <row r="43" ht="22" customHeight="1" spans="1:7" x14ac:dyDescent="0.25">
      <c r="A43" s="40">
        <f>IF((ROW()-3)&lt;=('首頁'!$B$8*12),ROW()-3,"")</f>
      </c>
      <c r="B43" s="41">
        <f>IF((ROW()-3)&lt;=('首頁'!$B$8*12),C43+D43,"")</f>
      </c>
      <c r="C43" s="42">
        <f>IF((ROW()-3)&lt;=('首頁'!$B$8*12),G43*'首頁'!$B$7/12/100,"")</f>
      </c>
      <c r="D43" s="42">
        <f>IF((ROW()-3)&lt;=('首頁'!$B$8*12),IF(ROW()-3=('首頁'!$B$8*12),G43,MIN(G43,'首頁'!$B$6/('首頁'!$B$8*12))),"")</f>
      </c>
      <c r="E43" s="42">
        <f>IF((ROW()-3)&lt;=('首頁'!$B$8*12),G43-D43,"")</f>
      </c>
      <c r="G43" s="39">
        <f>IF((ROW()-3)&lt;=('首頁'!$B$8*12),E42,"")</f>
      </c>
    </row>
    <row r="44" ht="22" customHeight="1" spans="1:7" x14ac:dyDescent="0.25">
      <c r="A44" s="36">
        <f>IF((ROW()-3)&lt;=('首頁'!$B$8*12),ROW()-3,"")</f>
      </c>
      <c r="B44" s="37">
        <f>IF((ROW()-3)&lt;=('首頁'!$B$8*12),C44+D44,"")</f>
      </c>
      <c r="C44" s="38">
        <f>IF((ROW()-3)&lt;=('首頁'!$B$8*12),G44*'首頁'!$B$7/12/100,"")</f>
      </c>
      <c r="D44" s="38">
        <f>IF((ROW()-3)&lt;=('首頁'!$B$8*12),IF(ROW()-3=('首頁'!$B$8*12),G44,MIN(G44,'首頁'!$B$6/('首頁'!$B$8*12))),"")</f>
      </c>
      <c r="E44" s="38">
        <f>IF((ROW()-3)&lt;=('首頁'!$B$8*12),G44-D44,"")</f>
      </c>
      <c r="G44" s="39">
        <f>IF((ROW()-3)&lt;=('首頁'!$B$8*12),E43,"")</f>
      </c>
    </row>
    <row r="45" ht="22" customHeight="1" spans="1:7" x14ac:dyDescent="0.25">
      <c r="A45" s="40">
        <f>IF((ROW()-3)&lt;=('首頁'!$B$8*12),ROW()-3,"")</f>
      </c>
      <c r="B45" s="41">
        <f>IF((ROW()-3)&lt;=('首頁'!$B$8*12),C45+D45,"")</f>
      </c>
      <c r="C45" s="42">
        <f>IF((ROW()-3)&lt;=('首頁'!$B$8*12),G45*'首頁'!$B$7/12/100,"")</f>
      </c>
      <c r="D45" s="42">
        <f>IF((ROW()-3)&lt;=('首頁'!$B$8*12),IF(ROW()-3=('首頁'!$B$8*12),G45,MIN(G45,'首頁'!$B$6/('首頁'!$B$8*12))),"")</f>
      </c>
      <c r="E45" s="42">
        <f>IF((ROW()-3)&lt;=('首頁'!$B$8*12),G45-D45,"")</f>
      </c>
      <c r="G45" s="39">
        <f>IF((ROW()-3)&lt;=('首頁'!$B$8*12),E44,"")</f>
      </c>
    </row>
    <row r="46" ht="22" customHeight="1" spans="1:7" x14ac:dyDescent="0.25">
      <c r="A46" s="36">
        <f>IF((ROW()-3)&lt;=('首頁'!$B$8*12),ROW()-3,"")</f>
      </c>
      <c r="B46" s="37">
        <f>IF((ROW()-3)&lt;=('首頁'!$B$8*12),C46+D46,"")</f>
      </c>
      <c r="C46" s="38">
        <f>IF((ROW()-3)&lt;=('首頁'!$B$8*12),G46*'首頁'!$B$7/12/100,"")</f>
      </c>
      <c r="D46" s="38">
        <f>IF((ROW()-3)&lt;=('首頁'!$B$8*12),IF(ROW()-3=('首頁'!$B$8*12),G46,MIN(G46,'首頁'!$B$6/('首頁'!$B$8*12))),"")</f>
      </c>
      <c r="E46" s="38">
        <f>IF((ROW()-3)&lt;=('首頁'!$B$8*12),G46-D46,"")</f>
      </c>
      <c r="G46" s="39">
        <f>IF((ROW()-3)&lt;=('首頁'!$B$8*12),E45,"")</f>
      </c>
    </row>
    <row r="47" ht="22" customHeight="1" spans="1:7" x14ac:dyDescent="0.25">
      <c r="A47" s="40">
        <f>IF((ROW()-3)&lt;=('首頁'!$B$8*12),ROW()-3,"")</f>
      </c>
      <c r="B47" s="41">
        <f>IF((ROW()-3)&lt;=('首頁'!$B$8*12),C47+D47,"")</f>
      </c>
      <c r="C47" s="42">
        <f>IF((ROW()-3)&lt;=('首頁'!$B$8*12),G47*'首頁'!$B$7/12/100,"")</f>
      </c>
      <c r="D47" s="42">
        <f>IF((ROW()-3)&lt;=('首頁'!$B$8*12),IF(ROW()-3=('首頁'!$B$8*12),G47,MIN(G47,'首頁'!$B$6/('首頁'!$B$8*12))),"")</f>
      </c>
      <c r="E47" s="42">
        <f>IF((ROW()-3)&lt;=('首頁'!$B$8*12),G47-D47,"")</f>
      </c>
      <c r="G47" s="39">
        <f>IF((ROW()-3)&lt;=('首頁'!$B$8*12),E46,"")</f>
      </c>
    </row>
    <row r="48" ht="22" customHeight="1" spans="1:7" x14ac:dyDescent="0.25">
      <c r="A48" s="36">
        <f>IF((ROW()-3)&lt;=('首頁'!$B$8*12),ROW()-3,"")</f>
      </c>
      <c r="B48" s="37">
        <f>IF((ROW()-3)&lt;=('首頁'!$B$8*12),C48+D48,"")</f>
      </c>
      <c r="C48" s="38">
        <f>IF((ROW()-3)&lt;=('首頁'!$B$8*12),G48*'首頁'!$B$7/12/100,"")</f>
      </c>
      <c r="D48" s="38">
        <f>IF((ROW()-3)&lt;=('首頁'!$B$8*12),IF(ROW()-3=('首頁'!$B$8*12),G48,MIN(G48,'首頁'!$B$6/('首頁'!$B$8*12))),"")</f>
      </c>
      <c r="E48" s="38">
        <f>IF((ROW()-3)&lt;=('首頁'!$B$8*12),G48-D48,"")</f>
      </c>
      <c r="G48" s="39">
        <f>IF((ROW()-3)&lt;=('首頁'!$B$8*12),E47,"")</f>
      </c>
    </row>
    <row r="49" ht="22" customHeight="1" spans="1:7" x14ac:dyDescent="0.25">
      <c r="A49" s="40">
        <f>IF((ROW()-3)&lt;=('首頁'!$B$8*12),ROW()-3,"")</f>
      </c>
      <c r="B49" s="41">
        <f>IF((ROW()-3)&lt;=('首頁'!$B$8*12),C49+D49,"")</f>
      </c>
      <c r="C49" s="42">
        <f>IF((ROW()-3)&lt;=('首頁'!$B$8*12),G49*'首頁'!$B$7/12/100,"")</f>
      </c>
      <c r="D49" s="42">
        <f>IF((ROW()-3)&lt;=('首頁'!$B$8*12),IF(ROW()-3=('首頁'!$B$8*12),G49,MIN(G49,'首頁'!$B$6/('首頁'!$B$8*12))),"")</f>
      </c>
      <c r="E49" s="42">
        <f>IF((ROW()-3)&lt;=('首頁'!$B$8*12),G49-D49,"")</f>
      </c>
      <c r="G49" s="39">
        <f>IF((ROW()-3)&lt;=('首頁'!$B$8*12),E48,"")</f>
      </c>
    </row>
    <row r="50" ht="22" customHeight="1" spans="1:7" x14ac:dyDescent="0.25">
      <c r="A50" s="36">
        <f>IF((ROW()-3)&lt;=('首頁'!$B$8*12),ROW()-3,"")</f>
      </c>
      <c r="B50" s="37">
        <f>IF((ROW()-3)&lt;=('首頁'!$B$8*12),C50+D50,"")</f>
      </c>
      <c r="C50" s="38">
        <f>IF((ROW()-3)&lt;=('首頁'!$B$8*12),G50*'首頁'!$B$7/12/100,"")</f>
      </c>
      <c r="D50" s="38">
        <f>IF((ROW()-3)&lt;=('首頁'!$B$8*12),IF(ROW()-3=('首頁'!$B$8*12),G50,MIN(G50,'首頁'!$B$6/('首頁'!$B$8*12))),"")</f>
      </c>
      <c r="E50" s="38">
        <f>IF((ROW()-3)&lt;=('首頁'!$B$8*12),G50-D50,"")</f>
      </c>
      <c r="G50" s="39">
        <f>IF((ROW()-3)&lt;=('首頁'!$B$8*12),E49,"")</f>
      </c>
    </row>
    <row r="51" ht="22" customHeight="1" spans="1:7" x14ac:dyDescent="0.25">
      <c r="A51" s="40">
        <f>IF((ROW()-3)&lt;=('首頁'!$B$8*12),ROW()-3,"")</f>
      </c>
      <c r="B51" s="41">
        <f>IF((ROW()-3)&lt;=('首頁'!$B$8*12),C51+D51,"")</f>
      </c>
      <c r="C51" s="42">
        <f>IF((ROW()-3)&lt;=('首頁'!$B$8*12),G51*'首頁'!$B$7/12/100,"")</f>
      </c>
      <c r="D51" s="42">
        <f>IF((ROW()-3)&lt;=('首頁'!$B$8*12),IF(ROW()-3=('首頁'!$B$8*12),G51,MIN(G51,'首頁'!$B$6/('首頁'!$B$8*12))),"")</f>
      </c>
      <c r="E51" s="42">
        <f>IF((ROW()-3)&lt;=('首頁'!$B$8*12),G51-D51,"")</f>
      </c>
      <c r="G51" s="39">
        <f>IF((ROW()-3)&lt;=('首頁'!$B$8*12),E50,"")</f>
      </c>
    </row>
    <row r="52" ht="22" customHeight="1" spans="1:7" x14ac:dyDescent="0.25">
      <c r="A52" s="36">
        <f>IF((ROW()-3)&lt;=('首頁'!$B$8*12),ROW()-3,"")</f>
      </c>
      <c r="B52" s="37">
        <f>IF((ROW()-3)&lt;=('首頁'!$B$8*12),C52+D52,"")</f>
      </c>
      <c r="C52" s="38">
        <f>IF((ROW()-3)&lt;=('首頁'!$B$8*12),G52*'首頁'!$B$7/12/100,"")</f>
      </c>
      <c r="D52" s="38">
        <f>IF((ROW()-3)&lt;=('首頁'!$B$8*12),IF(ROW()-3=('首頁'!$B$8*12),G52,MIN(G52,'首頁'!$B$6/('首頁'!$B$8*12))),"")</f>
      </c>
      <c r="E52" s="38">
        <f>IF((ROW()-3)&lt;=('首頁'!$B$8*12),G52-D52,"")</f>
      </c>
      <c r="G52" s="39">
        <f>IF((ROW()-3)&lt;=('首頁'!$B$8*12),E51,"")</f>
      </c>
    </row>
    <row r="53" ht="22" customHeight="1" spans="1:7" x14ac:dyDescent="0.25">
      <c r="A53" s="40">
        <f>IF((ROW()-3)&lt;=('首頁'!$B$8*12),ROW()-3,"")</f>
      </c>
      <c r="B53" s="41">
        <f>IF((ROW()-3)&lt;=('首頁'!$B$8*12),C53+D53,"")</f>
      </c>
      <c r="C53" s="42">
        <f>IF((ROW()-3)&lt;=('首頁'!$B$8*12),G53*'首頁'!$B$7/12/100,"")</f>
      </c>
      <c r="D53" s="42">
        <f>IF((ROW()-3)&lt;=('首頁'!$B$8*12),IF(ROW()-3=('首頁'!$B$8*12),G53,MIN(G53,'首頁'!$B$6/('首頁'!$B$8*12))),"")</f>
      </c>
      <c r="E53" s="42">
        <f>IF((ROW()-3)&lt;=('首頁'!$B$8*12),G53-D53,"")</f>
      </c>
      <c r="G53" s="39">
        <f>IF((ROW()-3)&lt;=('首頁'!$B$8*12),E52,"")</f>
      </c>
    </row>
    <row r="54" ht="22" customHeight="1" spans="1:7" x14ac:dyDescent="0.25">
      <c r="A54" s="36">
        <f>IF((ROW()-3)&lt;=('首頁'!$B$8*12),ROW()-3,"")</f>
      </c>
      <c r="B54" s="37">
        <f>IF((ROW()-3)&lt;=('首頁'!$B$8*12),C54+D54,"")</f>
      </c>
      <c r="C54" s="38">
        <f>IF((ROW()-3)&lt;=('首頁'!$B$8*12),G54*'首頁'!$B$7/12/100,"")</f>
      </c>
      <c r="D54" s="38">
        <f>IF((ROW()-3)&lt;=('首頁'!$B$8*12),IF(ROW()-3=('首頁'!$B$8*12),G54,MIN(G54,'首頁'!$B$6/('首頁'!$B$8*12))),"")</f>
      </c>
      <c r="E54" s="38">
        <f>IF((ROW()-3)&lt;=('首頁'!$B$8*12),G54-D54,"")</f>
      </c>
      <c r="G54" s="39">
        <f>IF((ROW()-3)&lt;=('首頁'!$B$8*12),E53,"")</f>
      </c>
    </row>
    <row r="55" ht="22" customHeight="1" spans="1:7" x14ac:dyDescent="0.25">
      <c r="A55" s="40">
        <f>IF((ROW()-3)&lt;=('首頁'!$B$8*12),ROW()-3,"")</f>
      </c>
      <c r="B55" s="41">
        <f>IF((ROW()-3)&lt;=('首頁'!$B$8*12),C55+D55,"")</f>
      </c>
      <c r="C55" s="42">
        <f>IF((ROW()-3)&lt;=('首頁'!$B$8*12),G55*'首頁'!$B$7/12/100,"")</f>
      </c>
      <c r="D55" s="42">
        <f>IF((ROW()-3)&lt;=('首頁'!$B$8*12),IF(ROW()-3=('首頁'!$B$8*12),G55,MIN(G55,'首頁'!$B$6/('首頁'!$B$8*12))),"")</f>
      </c>
      <c r="E55" s="42">
        <f>IF((ROW()-3)&lt;=('首頁'!$B$8*12),G55-D55,"")</f>
      </c>
      <c r="G55" s="39">
        <f>IF((ROW()-3)&lt;=('首頁'!$B$8*12),E54,"")</f>
      </c>
    </row>
    <row r="56" ht="22" customHeight="1" spans="1:7" x14ac:dyDescent="0.25">
      <c r="A56" s="36">
        <f>IF((ROW()-3)&lt;=('首頁'!$B$8*12),ROW()-3,"")</f>
      </c>
      <c r="B56" s="37">
        <f>IF((ROW()-3)&lt;=('首頁'!$B$8*12),C56+D56,"")</f>
      </c>
      <c r="C56" s="38">
        <f>IF((ROW()-3)&lt;=('首頁'!$B$8*12),G56*'首頁'!$B$7/12/100,"")</f>
      </c>
      <c r="D56" s="38">
        <f>IF((ROW()-3)&lt;=('首頁'!$B$8*12),IF(ROW()-3=('首頁'!$B$8*12),G56,MIN(G56,'首頁'!$B$6/('首頁'!$B$8*12))),"")</f>
      </c>
      <c r="E56" s="38">
        <f>IF((ROW()-3)&lt;=('首頁'!$B$8*12),G56-D56,"")</f>
      </c>
      <c r="G56" s="39">
        <f>IF((ROW()-3)&lt;=('首頁'!$B$8*12),E55,"")</f>
      </c>
    </row>
    <row r="57" ht="22" customHeight="1" spans="1:7" x14ac:dyDescent="0.25">
      <c r="A57" s="40">
        <f>IF((ROW()-3)&lt;=('首頁'!$B$8*12),ROW()-3,"")</f>
      </c>
      <c r="B57" s="41">
        <f>IF((ROW()-3)&lt;=('首頁'!$B$8*12),C57+D57,"")</f>
      </c>
      <c r="C57" s="42">
        <f>IF((ROW()-3)&lt;=('首頁'!$B$8*12),G57*'首頁'!$B$7/12/100,"")</f>
      </c>
      <c r="D57" s="42">
        <f>IF((ROW()-3)&lt;=('首頁'!$B$8*12),IF(ROW()-3=('首頁'!$B$8*12),G57,MIN(G57,'首頁'!$B$6/('首頁'!$B$8*12))),"")</f>
      </c>
      <c r="E57" s="42">
        <f>IF((ROW()-3)&lt;=('首頁'!$B$8*12),G57-D57,"")</f>
      </c>
      <c r="G57" s="39">
        <f>IF((ROW()-3)&lt;=('首頁'!$B$8*12),E56,"")</f>
      </c>
    </row>
    <row r="58" ht="22" customHeight="1" spans="1:7" x14ac:dyDescent="0.25">
      <c r="A58" s="36">
        <f>IF((ROW()-3)&lt;=('首頁'!$B$8*12),ROW()-3,"")</f>
      </c>
      <c r="B58" s="37">
        <f>IF((ROW()-3)&lt;=('首頁'!$B$8*12),C58+D58,"")</f>
      </c>
      <c r="C58" s="38">
        <f>IF((ROW()-3)&lt;=('首頁'!$B$8*12),G58*'首頁'!$B$7/12/100,"")</f>
      </c>
      <c r="D58" s="38">
        <f>IF((ROW()-3)&lt;=('首頁'!$B$8*12),IF(ROW()-3=('首頁'!$B$8*12),G58,MIN(G58,'首頁'!$B$6/('首頁'!$B$8*12))),"")</f>
      </c>
      <c r="E58" s="38">
        <f>IF((ROW()-3)&lt;=('首頁'!$B$8*12),G58-D58,"")</f>
      </c>
      <c r="G58" s="39">
        <f>IF((ROW()-3)&lt;=('首頁'!$B$8*12),E57,"")</f>
      </c>
    </row>
    <row r="59" ht="22" customHeight="1" spans="1:7" x14ac:dyDescent="0.25">
      <c r="A59" s="40">
        <f>IF((ROW()-3)&lt;=('首頁'!$B$8*12),ROW()-3,"")</f>
      </c>
      <c r="B59" s="41">
        <f>IF((ROW()-3)&lt;=('首頁'!$B$8*12),C59+D59,"")</f>
      </c>
      <c r="C59" s="42">
        <f>IF((ROW()-3)&lt;=('首頁'!$B$8*12),G59*'首頁'!$B$7/12/100,"")</f>
      </c>
      <c r="D59" s="42">
        <f>IF((ROW()-3)&lt;=('首頁'!$B$8*12),IF(ROW()-3=('首頁'!$B$8*12),G59,MIN(G59,'首頁'!$B$6/('首頁'!$B$8*12))),"")</f>
      </c>
      <c r="E59" s="42">
        <f>IF((ROW()-3)&lt;=('首頁'!$B$8*12),G59-D59,"")</f>
      </c>
      <c r="G59" s="39">
        <f>IF((ROW()-3)&lt;=('首頁'!$B$8*12),E58,"")</f>
      </c>
    </row>
    <row r="60" ht="22" customHeight="1" spans="1:7" x14ac:dyDescent="0.25">
      <c r="A60" s="36">
        <f>IF((ROW()-3)&lt;=('首頁'!$B$8*12),ROW()-3,"")</f>
      </c>
      <c r="B60" s="37">
        <f>IF((ROW()-3)&lt;=('首頁'!$B$8*12),C60+D60,"")</f>
      </c>
      <c r="C60" s="38">
        <f>IF((ROW()-3)&lt;=('首頁'!$B$8*12),G60*'首頁'!$B$7/12/100,"")</f>
      </c>
      <c r="D60" s="38">
        <f>IF((ROW()-3)&lt;=('首頁'!$B$8*12),IF(ROW()-3=('首頁'!$B$8*12),G60,MIN(G60,'首頁'!$B$6/('首頁'!$B$8*12))),"")</f>
      </c>
      <c r="E60" s="38">
        <f>IF((ROW()-3)&lt;=('首頁'!$B$8*12),G60-D60,"")</f>
      </c>
      <c r="G60" s="39">
        <f>IF((ROW()-3)&lt;=('首頁'!$B$8*12),E59,"")</f>
      </c>
    </row>
    <row r="61" ht="22" customHeight="1" spans="1:7" x14ac:dyDescent="0.25">
      <c r="A61" s="40">
        <f>IF((ROW()-3)&lt;=('首頁'!$B$8*12),ROW()-3,"")</f>
      </c>
      <c r="B61" s="41">
        <f>IF((ROW()-3)&lt;=('首頁'!$B$8*12),C61+D61,"")</f>
      </c>
      <c r="C61" s="42">
        <f>IF((ROW()-3)&lt;=('首頁'!$B$8*12),G61*'首頁'!$B$7/12/100,"")</f>
      </c>
      <c r="D61" s="42">
        <f>IF((ROW()-3)&lt;=('首頁'!$B$8*12),IF(ROW()-3=('首頁'!$B$8*12),G61,MIN(G61,'首頁'!$B$6/('首頁'!$B$8*12))),"")</f>
      </c>
      <c r="E61" s="42">
        <f>IF((ROW()-3)&lt;=('首頁'!$B$8*12),G61-D61,"")</f>
      </c>
      <c r="G61" s="39">
        <f>IF((ROW()-3)&lt;=('首頁'!$B$8*12),E60,"")</f>
      </c>
    </row>
    <row r="62" ht="22" customHeight="1" spans="1:7" x14ac:dyDescent="0.25">
      <c r="A62" s="36">
        <f>IF((ROW()-3)&lt;=('首頁'!$B$8*12),ROW()-3,"")</f>
      </c>
      <c r="B62" s="37">
        <f>IF((ROW()-3)&lt;=('首頁'!$B$8*12),C62+D62,"")</f>
      </c>
      <c r="C62" s="38">
        <f>IF((ROW()-3)&lt;=('首頁'!$B$8*12),G62*'首頁'!$B$7/12/100,"")</f>
      </c>
      <c r="D62" s="38">
        <f>IF((ROW()-3)&lt;=('首頁'!$B$8*12),IF(ROW()-3=('首頁'!$B$8*12),G62,MIN(G62,'首頁'!$B$6/('首頁'!$B$8*12))),"")</f>
      </c>
      <c r="E62" s="38">
        <f>IF((ROW()-3)&lt;=('首頁'!$B$8*12),G62-D62,"")</f>
      </c>
      <c r="G62" s="39">
        <f>IF((ROW()-3)&lt;=('首頁'!$B$8*12),E61,"")</f>
      </c>
    </row>
    <row r="63" ht="22" customHeight="1" spans="1:7" x14ac:dyDescent="0.25">
      <c r="A63" s="40">
        <f>IF((ROW()-3)&lt;=('首頁'!$B$8*12),ROW()-3,"")</f>
      </c>
      <c r="B63" s="41">
        <f>IF((ROW()-3)&lt;=('首頁'!$B$8*12),C63+D63,"")</f>
      </c>
      <c r="C63" s="42">
        <f>IF((ROW()-3)&lt;=('首頁'!$B$8*12),G63*'首頁'!$B$7/12/100,"")</f>
      </c>
      <c r="D63" s="42">
        <f>IF((ROW()-3)&lt;=('首頁'!$B$8*12),IF(ROW()-3=('首頁'!$B$8*12),G63,MIN(G63,'首頁'!$B$6/('首頁'!$B$8*12))),"")</f>
      </c>
      <c r="E63" s="42">
        <f>IF((ROW()-3)&lt;=('首頁'!$B$8*12),G63-D63,"")</f>
      </c>
      <c r="G63" s="39">
        <f>IF((ROW()-3)&lt;=('首頁'!$B$8*12),E62,"")</f>
      </c>
    </row>
    <row r="64" ht="22" customHeight="1" spans="1:7" x14ac:dyDescent="0.25">
      <c r="A64" s="36">
        <f>IF((ROW()-3)&lt;=('首頁'!$B$8*12),ROW()-3,"")</f>
      </c>
      <c r="B64" s="37">
        <f>IF((ROW()-3)&lt;=('首頁'!$B$8*12),C64+D64,"")</f>
      </c>
      <c r="C64" s="38">
        <f>IF((ROW()-3)&lt;=('首頁'!$B$8*12),G64*'首頁'!$B$7/12/100,"")</f>
      </c>
      <c r="D64" s="38">
        <f>IF((ROW()-3)&lt;=('首頁'!$B$8*12),IF(ROW()-3=('首頁'!$B$8*12),G64,MIN(G64,'首頁'!$B$6/('首頁'!$B$8*12))),"")</f>
      </c>
      <c r="E64" s="38">
        <f>IF((ROW()-3)&lt;=('首頁'!$B$8*12),G64-D64,"")</f>
      </c>
      <c r="G64" s="39">
        <f>IF((ROW()-3)&lt;=('首頁'!$B$8*12),E63,"")</f>
      </c>
    </row>
    <row r="65" ht="22" customHeight="1" spans="1:7" x14ac:dyDescent="0.25">
      <c r="A65" s="40">
        <f>IF((ROW()-3)&lt;=('首頁'!$B$8*12),ROW()-3,"")</f>
      </c>
      <c r="B65" s="41">
        <f>IF((ROW()-3)&lt;=('首頁'!$B$8*12),C65+D65,"")</f>
      </c>
      <c r="C65" s="42">
        <f>IF((ROW()-3)&lt;=('首頁'!$B$8*12),G65*'首頁'!$B$7/12/100,"")</f>
      </c>
      <c r="D65" s="42">
        <f>IF((ROW()-3)&lt;=('首頁'!$B$8*12),IF(ROW()-3=('首頁'!$B$8*12),G65,MIN(G65,'首頁'!$B$6/('首頁'!$B$8*12))),"")</f>
      </c>
      <c r="E65" s="42">
        <f>IF((ROW()-3)&lt;=('首頁'!$B$8*12),G65-D65,"")</f>
      </c>
      <c r="G65" s="39">
        <f>IF((ROW()-3)&lt;=('首頁'!$B$8*12),E64,"")</f>
      </c>
    </row>
    <row r="66" ht="22" customHeight="1" spans="1:7" x14ac:dyDescent="0.25">
      <c r="A66" s="36">
        <f>IF((ROW()-3)&lt;=('首頁'!$B$8*12),ROW()-3,"")</f>
      </c>
      <c r="B66" s="37">
        <f>IF((ROW()-3)&lt;=('首頁'!$B$8*12),C66+D66,"")</f>
      </c>
      <c r="C66" s="38">
        <f>IF((ROW()-3)&lt;=('首頁'!$B$8*12),G66*'首頁'!$B$7/12/100,"")</f>
      </c>
      <c r="D66" s="38">
        <f>IF((ROW()-3)&lt;=('首頁'!$B$8*12),IF(ROW()-3=('首頁'!$B$8*12),G66,MIN(G66,'首頁'!$B$6/('首頁'!$B$8*12))),"")</f>
      </c>
      <c r="E66" s="38">
        <f>IF((ROW()-3)&lt;=('首頁'!$B$8*12),G66-D66,"")</f>
      </c>
      <c r="G66" s="39">
        <f>IF((ROW()-3)&lt;=('首頁'!$B$8*12),E65,"")</f>
      </c>
    </row>
    <row r="67" ht="22" customHeight="1" spans="1:7" x14ac:dyDescent="0.25">
      <c r="A67" s="40">
        <f>IF((ROW()-3)&lt;=('首頁'!$B$8*12),ROW()-3,"")</f>
      </c>
      <c r="B67" s="41">
        <f>IF((ROW()-3)&lt;=('首頁'!$B$8*12),C67+D67,"")</f>
      </c>
      <c r="C67" s="42">
        <f>IF((ROW()-3)&lt;=('首頁'!$B$8*12),G67*'首頁'!$B$7/12/100,"")</f>
      </c>
      <c r="D67" s="42">
        <f>IF((ROW()-3)&lt;=('首頁'!$B$8*12),IF(ROW()-3=('首頁'!$B$8*12),G67,MIN(G67,'首頁'!$B$6/('首頁'!$B$8*12))),"")</f>
      </c>
      <c r="E67" s="42">
        <f>IF((ROW()-3)&lt;=('首頁'!$B$8*12),G67-D67,"")</f>
      </c>
      <c r="G67" s="39">
        <f>IF((ROW()-3)&lt;=('首頁'!$B$8*12),E66,"")</f>
      </c>
    </row>
    <row r="68" ht="22" customHeight="1" spans="1:7" x14ac:dyDescent="0.25">
      <c r="A68" s="36">
        <f>IF((ROW()-3)&lt;=('首頁'!$B$8*12),ROW()-3,"")</f>
      </c>
      <c r="B68" s="37">
        <f>IF((ROW()-3)&lt;=('首頁'!$B$8*12),C68+D68,"")</f>
      </c>
      <c r="C68" s="38">
        <f>IF((ROW()-3)&lt;=('首頁'!$B$8*12),G68*'首頁'!$B$7/12/100,"")</f>
      </c>
      <c r="D68" s="38">
        <f>IF((ROW()-3)&lt;=('首頁'!$B$8*12),IF(ROW()-3=('首頁'!$B$8*12),G68,MIN(G68,'首頁'!$B$6/('首頁'!$B$8*12))),"")</f>
      </c>
      <c r="E68" s="38">
        <f>IF((ROW()-3)&lt;=('首頁'!$B$8*12),G68-D68,"")</f>
      </c>
      <c r="G68" s="39">
        <f>IF((ROW()-3)&lt;=('首頁'!$B$8*12),E67,"")</f>
      </c>
    </row>
    <row r="69" ht="22" customHeight="1" spans="1:7" x14ac:dyDescent="0.25">
      <c r="A69" s="40">
        <f>IF((ROW()-3)&lt;=('首頁'!$B$8*12),ROW()-3,"")</f>
      </c>
      <c r="B69" s="41">
        <f>IF((ROW()-3)&lt;=('首頁'!$B$8*12),C69+D69,"")</f>
      </c>
      <c r="C69" s="42">
        <f>IF((ROW()-3)&lt;=('首頁'!$B$8*12),G69*'首頁'!$B$7/12/100,"")</f>
      </c>
      <c r="D69" s="42">
        <f>IF((ROW()-3)&lt;=('首頁'!$B$8*12),IF(ROW()-3=('首頁'!$B$8*12),G69,MIN(G69,'首頁'!$B$6/('首頁'!$B$8*12))),"")</f>
      </c>
      <c r="E69" s="42">
        <f>IF((ROW()-3)&lt;=('首頁'!$B$8*12),G69-D69,"")</f>
      </c>
      <c r="G69" s="39">
        <f>IF((ROW()-3)&lt;=('首頁'!$B$8*12),E68,"")</f>
      </c>
    </row>
    <row r="70" ht="22" customHeight="1" spans="1:7" x14ac:dyDescent="0.25">
      <c r="A70" s="36">
        <f>IF((ROW()-3)&lt;=('首頁'!$B$8*12),ROW()-3,"")</f>
      </c>
      <c r="B70" s="37">
        <f>IF((ROW()-3)&lt;=('首頁'!$B$8*12),C70+D70,"")</f>
      </c>
      <c r="C70" s="38">
        <f>IF((ROW()-3)&lt;=('首頁'!$B$8*12),G70*'首頁'!$B$7/12/100,"")</f>
      </c>
      <c r="D70" s="38">
        <f>IF((ROW()-3)&lt;=('首頁'!$B$8*12),IF(ROW()-3=('首頁'!$B$8*12),G70,MIN(G70,'首頁'!$B$6/('首頁'!$B$8*12))),"")</f>
      </c>
      <c r="E70" s="38">
        <f>IF((ROW()-3)&lt;=('首頁'!$B$8*12),G70-D70,"")</f>
      </c>
      <c r="G70" s="39">
        <f>IF((ROW()-3)&lt;=('首頁'!$B$8*12),E69,"")</f>
      </c>
    </row>
    <row r="71" ht="22" customHeight="1" spans="1:7" x14ac:dyDescent="0.25">
      <c r="A71" s="40">
        <f>IF((ROW()-3)&lt;=('首頁'!$B$8*12),ROW()-3,"")</f>
      </c>
      <c r="B71" s="41">
        <f>IF((ROW()-3)&lt;=('首頁'!$B$8*12),C71+D71,"")</f>
      </c>
      <c r="C71" s="42">
        <f>IF((ROW()-3)&lt;=('首頁'!$B$8*12),G71*'首頁'!$B$7/12/100,"")</f>
      </c>
      <c r="D71" s="42">
        <f>IF((ROW()-3)&lt;=('首頁'!$B$8*12),IF(ROW()-3=('首頁'!$B$8*12),G71,MIN(G71,'首頁'!$B$6/('首頁'!$B$8*12))),"")</f>
      </c>
      <c r="E71" s="42">
        <f>IF((ROW()-3)&lt;=('首頁'!$B$8*12),G71-D71,"")</f>
      </c>
      <c r="G71" s="39">
        <f>IF((ROW()-3)&lt;=('首頁'!$B$8*12),E70,"")</f>
      </c>
    </row>
    <row r="72" ht="22" customHeight="1" spans="1:7" x14ac:dyDescent="0.25">
      <c r="A72" s="36">
        <f>IF((ROW()-3)&lt;=('首頁'!$B$8*12),ROW()-3,"")</f>
      </c>
      <c r="B72" s="37">
        <f>IF((ROW()-3)&lt;=('首頁'!$B$8*12),C72+D72,"")</f>
      </c>
      <c r="C72" s="38">
        <f>IF((ROW()-3)&lt;=('首頁'!$B$8*12),G72*'首頁'!$B$7/12/100,"")</f>
      </c>
      <c r="D72" s="38">
        <f>IF((ROW()-3)&lt;=('首頁'!$B$8*12),IF(ROW()-3=('首頁'!$B$8*12),G72,MIN(G72,'首頁'!$B$6/('首頁'!$B$8*12))),"")</f>
      </c>
      <c r="E72" s="38">
        <f>IF((ROW()-3)&lt;=('首頁'!$B$8*12),G72-D72,"")</f>
      </c>
      <c r="G72" s="39">
        <f>IF((ROW()-3)&lt;=('首頁'!$B$8*12),E71,"")</f>
      </c>
    </row>
    <row r="73" ht="22" customHeight="1" spans="1:7" x14ac:dyDescent="0.25">
      <c r="A73" s="40">
        <f>IF((ROW()-3)&lt;=('首頁'!$B$8*12),ROW()-3,"")</f>
      </c>
      <c r="B73" s="41">
        <f>IF((ROW()-3)&lt;=('首頁'!$B$8*12),C73+D73,"")</f>
      </c>
      <c r="C73" s="42">
        <f>IF((ROW()-3)&lt;=('首頁'!$B$8*12),G73*'首頁'!$B$7/12/100,"")</f>
      </c>
      <c r="D73" s="42">
        <f>IF((ROW()-3)&lt;=('首頁'!$B$8*12),IF(ROW()-3=('首頁'!$B$8*12),G73,MIN(G73,'首頁'!$B$6/('首頁'!$B$8*12))),"")</f>
      </c>
      <c r="E73" s="42">
        <f>IF((ROW()-3)&lt;=('首頁'!$B$8*12),G73-D73,"")</f>
      </c>
      <c r="G73" s="39">
        <f>IF((ROW()-3)&lt;=('首頁'!$B$8*12),E72,"")</f>
      </c>
    </row>
    <row r="74" ht="22" customHeight="1" spans="1:7" x14ac:dyDescent="0.25">
      <c r="A74" s="36">
        <f>IF((ROW()-3)&lt;=('首頁'!$B$8*12),ROW()-3,"")</f>
      </c>
      <c r="B74" s="37">
        <f>IF((ROW()-3)&lt;=('首頁'!$B$8*12),C74+D74,"")</f>
      </c>
      <c r="C74" s="38">
        <f>IF((ROW()-3)&lt;=('首頁'!$B$8*12),G74*'首頁'!$B$7/12/100,"")</f>
      </c>
      <c r="D74" s="38">
        <f>IF((ROW()-3)&lt;=('首頁'!$B$8*12),IF(ROW()-3=('首頁'!$B$8*12),G74,MIN(G74,'首頁'!$B$6/('首頁'!$B$8*12))),"")</f>
      </c>
      <c r="E74" s="38">
        <f>IF((ROW()-3)&lt;=('首頁'!$B$8*12),G74-D74,"")</f>
      </c>
      <c r="G74" s="39">
        <f>IF((ROW()-3)&lt;=('首頁'!$B$8*12),E73,"")</f>
      </c>
    </row>
    <row r="75" ht="22" customHeight="1" spans="1:7" x14ac:dyDescent="0.25">
      <c r="A75" s="40">
        <f>IF((ROW()-3)&lt;=('首頁'!$B$8*12),ROW()-3,"")</f>
      </c>
      <c r="B75" s="41">
        <f>IF((ROW()-3)&lt;=('首頁'!$B$8*12),C75+D75,"")</f>
      </c>
      <c r="C75" s="42">
        <f>IF((ROW()-3)&lt;=('首頁'!$B$8*12),G75*'首頁'!$B$7/12/100,"")</f>
      </c>
      <c r="D75" s="42">
        <f>IF((ROW()-3)&lt;=('首頁'!$B$8*12),IF(ROW()-3=('首頁'!$B$8*12),G75,MIN(G75,'首頁'!$B$6/('首頁'!$B$8*12))),"")</f>
      </c>
      <c r="E75" s="42">
        <f>IF((ROW()-3)&lt;=('首頁'!$B$8*12),G75-D75,"")</f>
      </c>
      <c r="G75" s="39">
        <f>IF((ROW()-3)&lt;=('首頁'!$B$8*12),E74,"")</f>
      </c>
    </row>
    <row r="76" ht="22" customHeight="1" spans="1:7" x14ac:dyDescent="0.25">
      <c r="A76" s="36">
        <f>IF((ROW()-3)&lt;=('首頁'!$B$8*12),ROW()-3,"")</f>
      </c>
      <c r="B76" s="37">
        <f>IF((ROW()-3)&lt;=('首頁'!$B$8*12),C76+D76,"")</f>
      </c>
      <c r="C76" s="38">
        <f>IF((ROW()-3)&lt;=('首頁'!$B$8*12),G76*'首頁'!$B$7/12/100,"")</f>
      </c>
      <c r="D76" s="38">
        <f>IF((ROW()-3)&lt;=('首頁'!$B$8*12),IF(ROW()-3=('首頁'!$B$8*12),G76,MIN(G76,'首頁'!$B$6/('首頁'!$B$8*12))),"")</f>
      </c>
      <c r="E76" s="38">
        <f>IF((ROW()-3)&lt;=('首頁'!$B$8*12),G76-D76,"")</f>
      </c>
      <c r="G76" s="39">
        <f>IF((ROW()-3)&lt;=('首頁'!$B$8*12),E75,"")</f>
      </c>
    </row>
    <row r="77" ht="22" customHeight="1" spans="1:7" x14ac:dyDescent="0.25">
      <c r="A77" s="40">
        <f>IF((ROW()-3)&lt;=('首頁'!$B$8*12),ROW()-3,"")</f>
      </c>
      <c r="B77" s="41">
        <f>IF((ROW()-3)&lt;=('首頁'!$B$8*12),C77+D77,"")</f>
      </c>
      <c r="C77" s="42">
        <f>IF((ROW()-3)&lt;=('首頁'!$B$8*12),G77*'首頁'!$B$7/12/100,"")</f>
      </c>
      <c r="D77" s="42">
        <f>IF((ROW()-3)&lt;=('首頁'!$B$8*12),IF(ROW()-3=('首頁'!$B$8*12),G77,MIN(G77,'首頁'!$B$6/('首頁'!$B$8*12))),"")</f>
      </c>
      <c r="E77" s="42">
        <f>IF((ROW()-3)&lt;=('首頁'!$B$8*12),G77-D77,"")</f>
      </c>
      <c r="G77" s="39">
        <f>IF((ROW()-3)&lt;=('首頁'!$B$8*12),E76,"")</f>
      </c>
    </row>
    <row r="78" ht="22" customHeight="1" spans="1:7" x14ac:dyDescent="0.25">
      <c r="A78" s="36">
        <f>IF((ROW()-3)&lt;=('首頁'!$B$8*12),ROW()-3,"")</f>
      </c>
      <c r="B78" s="37">
        <f>IF((ROW()-3)&lt;=('首頁'!$B$8*12),C78+D78,"")</f>
      </c>
      <c r="C78" s="38">
        <f>IF((ROW()-3)&lt;=('首頁'!$B$8*12),G78*'首頁'!$B$7/12/100,"")</f>
      </c>
      <c r="D78" s="38">
        <f>IF((ROW()-3)&lt;=('首頁'!$B$8*12),IF(ROW()-3=('首頁'!$B$8*12),G78,MIN(G78,'首頁'!$B$6/('首頁'!$B$8*12))),"")</f>
      </c>
      <c r="E78" s="38">
        <f>IF((ROW()-3)&lt;=('首頁'!$B$8*12),G78-D78,"")</f>
      </c>
      <c r="G78" s="39">
        <f>IF((ROW()-3)&lt;=('首頁'!$B$8*12),E77,"")</f>
      </c>
    </row>
    <row r="79" ht="22" customHeight="1" spans="1:7" x14ac:dyDescent="0.25">
      <c r="A79" s="40">
        <f>IF((ROW()-3)&lt;=('首頁'!$B$8*12),ROW()-3,"")</f>
      </c>
      <c r="B79" s="41">
        <f>IF((ROW()-3)&lt;=('首頁'!$B$8*12),C79+D79,"")</f>
      </c>
      <c r="C79" s="42">
        <f>IF((ROW()-3)&lt;=('首頁'!$B$8*12),G79*'首頁'!$B$7/12/100,"")</f>
      </c>
      <c r="D79" s="42">
        <f>IF((ROW()-3)&lt;=('首頁'!$B$8*12),IF(ROW()-3=('首頁'!$B$8*12),G79,MIN(G79,'首頁'!$B$6/('首頁'!$B$8*12))),"")</f>
      </c>
      <c r="E79" s="42">
        <f>IF((ROW()-3)&lt;=('首頁'!$B$8*12),G79-D79,"")</f>
      </c>
      <c r="G79" s="39">
        <f>IF((ROW()-3)&lt;=('首頁'!$B$8*12),E78,"")</f>
      </c>
    </row>
    <row r="80" ht="22" customHeight="1" spans="1:7" x14ac:dyDescent="0.25">
      <c r="A80" s="36">
        <f>IF((ROW()-3)&lt;=('首頁'!$B$8*12),ROW()-3,"")</f>
      </c>
      <c r="B80" s="37">
        <f>IF((ROW()-3)&lt;=('首頁'!$B$8*12),C80+D80,"")</f>
      </c>
      <c r="C80" s="38">
        <f>IF((ROW()-3)&lt;=('首頁'!$B$8*12),G80*'首頁'!$B$7/12/100,"")</f>
      </c>
      <c r="D80" s="38">
        <f>IF((ROW()-3)&lt;=('首頁'!$B$8*12),IF(ROW()-3=('首頁'!$B$8*12),G80,MIN(G80,'首頁'!$B$6/('首頁'!$B$8*12))),"")</f>
      </c>
      <c r="E80" s="38">
        <f>IF((ROW()-3)&lt;=('首頁'!$B$8*12),G80-D80,"")</f>
      </c>
      <c r="G80" s="39">
        <f>IF((ROW()-3)&lt;=('首頁'!$B$8*12),E79,"")</f>
      </c>
    </row>
    <row r="81" ht="22" customHeight="1" spans="1:7" x14ac:dyDescent="0.25">
      <c r="A81" s="40">
        <f>IF((ROW()-3)&lt;=('首頁'!$B$8*12),ROW()-3,"")</f>
      </c>
      <c r="B81" s="41">
        <f>IF((ROW()-3)&lt;=('首頁'!$B$8*12),C81+D81,"")</f>
      </c>
      <c r="C81" s="42">
        <f>IF((ROW()-3)&lt;=('首頁'!$B$8*12),G81*'首頁'!$B$7/12/100,"")</f>
      </c>
      <c r="D81" s="42">
        <f>IF((ROW()-3)&lt;=('首頁'!$B$8*12),IF(ROW()-3=('首頁'!$B$8*12),G81,MIN(G81,'首頁'!$B$6/('首頁'!$B$8*12))),"")</f>
      </c>
      <c r="E81" s="42">
        <f>IF((ROW()-3)&lt;=('首頁'!$B$8*12),G81-D81,"")</f>
      </c>
      <c r="G81" s="39">
        <f>IF((ROW()-3)&lt;=('首頁'!$B$8*12),E80,"")</f>
      </c>
    </row>
    <row r="82" ht="22" customHeight="1" spans="1:7" x14ac:dyDescent="0.25">
      <c r="A82" s="36">
        <f>IF((ROW()-3)&lt;=('首頁'!$B$8*12),ROW()-3,"")</f>
      </c>
      <c r="B82" s="37">
        <f>IF((ROW()-3)&lt;=('首頁'!$B$8*12),C82+D82,"")</f>
      </c>
      <c r="C82" s="38">
        <f>IF((ROW()-3)&lt;=('首頁'!$B$8*12),G82*'首頁'!$B$7/12/100,"")</f>
      </c>
      <c r="D82" s="38">
        <f>IF((ROW()-3)&lt;=('首頁'!$B$8*12),IF(ROW()-3=('首頁'!$B$8*12),G82,MIN(G82,'首頁'!$B$6/('首頁'!$B$8*12))),"")</f>
      </c>
      <c r="E82" s="38">
        <f>IF((ROW()-3)&lt;=('首頁'!$B$8*12),G82-D82,"")</f>
      </c>
      <c r="G82" s="39">
        <f>IF((ROW()-3)&lt;=('首頁'!$B$8*12),E81,"")</f>
      </c>
    </row>
    <row r="83" ht="22" customHeight="1" spans="1:7" x14ac:dyDescent="0.25">
      <c r="A83" s="40">
        <f>IF((ROW()-3)&lt;=('首頁'!$B$8*12),ROW()-3,"")</f>
      </c>
      <c r="B83" s="41">
        <f>IF((ROW()-3)&lt;=('首頁'!$B$8*12),C83+D83,"")</f>
      </c>
      <c r="C83" s="42">
        <f>IF((ROW()-3)&lt;=('首頁'!$B$8*12),G83*'首頁'!$B$7/12/100,"")</f>
      </c>
      <c r="D83" s="42">
        <f>IF((ROW()-3)&lt;=('首頁'!$B$8*12),IF(ROW()-3=('首頁'!$B$8*12),G83,MIN(G83,'首頁'!$B$6/('首頁'!$B$8*12))),"")</f>
      </c>
      <c r="E83" s="42">
        <f>IF((ROW()-3)&lt;=('首頁'!$B$8*12),G83-D83,"")</f>
      </c>
      <c r="G83" s="39">
        <f>IF((ROW()-3)&lt;=('首頁'!$B$8*12),E82,"")</f>
      </c>
    </row>
    <row r="84" ht="22" customHeight="1" spans="1:7" x14ac:dyDescent="0.25">
      <c r="A84" s="36">
        <f>IF((ROW()-3)&lt;=('首頁'!$B$8*12),ROW()-3,"")</f>
      </c>
      <c r="B84" s="37">
        <f>IF((ROW()-3)&lt;=('首頁'!$B$8*12),C84+D84,"")</f>
      </c>
      <c r="C84" s="38">
        <f>IF((ROW()-3)&lt;=('首頁'!$B$8*12),G84*'首頁'!$B$7/12/100,"")</f>
      </c>
      <c r="D84" s="38">
        <f>IF((ROW()-3)&lt;=('首頁'!$B$8*12),IF(ROW()-3=('首頁'!$B$8*12),G84,MIN(G84,'首頁'!$B$6/('首頁'!$B$8*12))),"")</f>
      </c>
      <c r="E84" s="38">
        <f>IF((ROW()-3)&lt;=('首頁'!$B$8*12),G84-D84,"")</f>
      </c>
      <c r="G84" s="39">
        <f>IF((ROW()-3)&lt;=('首頁'!$B$8*12),E83,"")</f>
      </c>
    </row>
    <row r="85" ht="22" customHeight="1" spans="1:7" x14ac:dyDescent="0.25">
      <c r="A85" s="40">
        <f>IF((ROW()-3)&lt;=('首頁'!$B$8*12),ROW()-3,"")</f>
      </c>
      <c r="B85" s="41">
        <f>IF((ROW()-3)&lt;=('首頁'!$B$8*12),C85+D85,"")</f>
      </c>
      <c r="C85" s="42">
        <f>IF((ROW()-3)&lt;=('首頁'!$B$8*12),G85*'首頁'!$B$7/12/100,"")</f>
      </c>
      <c r="D85" s="42">
        <f>IF((ROW()-3)&lt;=('首頁'!$B$8*12),IF(ROW()-3=('首頁'!$B$8*12),G85,MIN(G85,'首頁'!$B$6/('首頁'!$B$8*12))),"")</f>
      </c>
      <c r="E85" s="42">
        <f>IF((ROW()-3)&lt;=('首頁'!$B$8*12),G85-D85,"")</f>
      </c>
      <c r="G85" s="39">
        <f>IF((ROW()-3)&lt;=('首頁'!$B$8*12),E84,"")</f>
      </c>
    </row>
    <row r="86" ht="22" customHeight="1" spans="1:7" x14ac:dyDescent="0.25">
      <c r="A86" s="36">
        <f>IF((ROW()-3)&lt;=('首頁'!$B$8*12),ROW()-3,"")</f>
      </c>
      <c r="B86" s="37">
        <f>IF((ROW()-3)&lt;=('首頁'!$B$8*12),C86+D86,"")</f>
      </c>
      <c r="C86" s="38">
        <f>IF((ROW()-3)&lt;=('首頁'!$B$8*12),G86*'首頁'!$B$7/12/100,"")</f>
      </c>
      <c r="D86" s="38">
        <f>IF((ROW()-3)&lt;=('首頁'!$B$8*12),IF(ROW()-3=('首頁'!$B$8*12),G86,MIN(G86,'首頁'!$B$6/('首頁'!$B$8*12))),"")</f>
      </c>
      <c r="E86" s="38">
        <f>IF((ROW()-3)&lt;=('首頁'!$B$8*12),G86-D86,"")</f>
      </c>
      <c r="G86" s="39">
        <f>IF((ROW()-3)&lt;=('首頁'!$B$8*12),E85,"")</f>
      </c>
    </row>
    <row r="87" ht="22" customHeight="1" spans="1:7" x14ac:dyDescent="0.25">
      <c r="A87" s="40">
        <f>IF((ROW()-3)&lt;=('首頁'!$B$8*12),ROW()-3,"")</f>
      </c>
      <c r="B87" s="41">
        <f>IF((ROW()-3)&lt;=('首頁'!$B$8*12),C87+D87,"")</f>
      </c>
      <c r="C87" s="42">
        <f>IF((ROW()-3)&lt;=('首頁'!$B$8*12),G87*'首頁'!$B$7/12/100,"")</f>
      </c>
      <c r="D87" s="42">
        <f>IF((ROW()-3)&lt;=('首頁'!$B$8*12),IF(ROW()-3=('首頁'!$B$8*12),G87,MIN(G87,'首頁'!$B$6/('首頁'!$B$8*12))),"")</f>
      </c>
      <c r="E87" s="42">
        <f>IF((ROW()-3)&lt;=('首頁'!$B$8*12),G87-D87,"")</f>
      </c>
      <c r="G87" s="39">
        <f>IF((ROW()-3)&lt;=('首頁'!$B$8*12),E86,"")</f>
      </c>
    </row>
    <row r="88" ht="22" customHeight="1" spans="1:7" x14ac:dyDescent="0.25">
      <c r="A88" s="36">
        <f>IF((ROW()-3)&lt;=('首頁'!$B$8*12),ROW()-3,"")</f>
      </c>
      <c r="B88" s="37">
        <f>IF((ROW()-3)&lt;=('首頁'!$B$8*12),C88+D88,"")</f>
      </c>
      <c r="C88" s="38">
        <f>IF((ROW()-3)&lt;=('首頁'!$B$8*12),G88*'首頁'!$B$7/12/100,"")</f>
      </c>
      <c r="D88" s="38">
        <f>IF((ROW()-3)&lt;=('首頁'!$B$8*12),IF(ROW()-3=('首頁'!$B$8*12),G88,MIN(G88,'首頁'!$B$6/('首頁'!$B$8*12))),"")</f>
      </c>
      <c r="E88" s="38">
        <f>IF((ROW()-3)&lt;=('首頁'!$B$8*12),G88-D88,"")</f>
      </c>
      <c r="G88" s="39">
        <f>IF((ROW()-3)&lt;=('首頁'!$B$8*12),E87,"")</f>
      </c>
    </row>
    <row r="89" ht="22" customHeight="1" spans="1:7" x14ac:dyDescent="0.25">
      <c r="A89" s="40">
        <f>IF((ROW()-3)&lt;=('首頁'!$B$8*12),ROW()-3,"")</f>
      </c>
      <c r="B89" s="41">
        <f>IF((ROW()-3)&lt;=('首頁'!$B$8*12),C89+D89,"")</f>
      </c>
      <c r="C89" s="42">
        <f>IF((ROW()-3)&lt;=('首頁'!$B$8*12),G89*'首頁'!$B$7/12/100,"")</f>
      </c>
      <c r="D89" s="42">
        <f>IF((ROW()-3)&lt;=('首頁'!$B$8*12),IF(ROW()-3=('首頁'!$B$8*12),G89,MIN(G89,'首頁'!$B$6/('首頁'!$B$8*12))),"")</f>
      </c>
      <c r="E89" s="42">
        <f>IF((ROW()-3)&lt;=('首頁'!$B$8*12),G89-D89,"")</f>
      </c>
      <c r="G89" s="39">
        <f>IF((ROW()-3)&lt;=('首頁'!$B$8*12),E88,"")</f>
      </c>
    </row>
    <row r="90" ht="22" customHeight="1" spans="1:7" x14ac:dyDescent="0.25">
      <c r="A90" s="36">
        <f>IF((ROW()-3)&lt;=('首頁'!$B$8*12),ROW()-3,"")</f>
      </c>
      <c r="B90" s="37">
        <f>IF((ROW()-3)&lt;=('首頁'!$B$8*12),C90+D90,"")</f>
      </c>
      <c r="C90" s="38">
        <f>IF((ROW()-3)&lt;=('首頁'!$B$8*12),G90*'首頁'!$B$7/12/100,"")</f>
      </c>
      <c r="D90" s="38">
        <f>IF((ROW()-3)&lt;=('首頁'!$B$8*12),IF(ROW()-3=('首頁'!$B$8*12),G90,MIN(G90,'首頁'!$B$6/('首頁'!$B$8*12))),"")</f>
      </c>
      <c r="E90" s="38">
        <f>IF((ROW()-3)&lt;=('首頁'!$B$8*12),G90-D90,"")</f>
      </c>
      <c r="G90" s="39">
        <f>IF((ROW()-3)&lt;=('首頁'!$B$8*12),E89,"")</f>
      </c>
    </row>
    <row r="91" ht="22" customHeight="1" spans="1:7" x14ac:dyDescent="0.25">
      <c r="A91" s="40">
        <f>IF((ROW()-3)&lt;=('首頁'!$B$8*12),ROW()-3,"")</f>
      </c>
      <c r="B91" s="41">
        <f>IF((ROW()-3)&lt;=('首頁'!$B$8*12),C91+D91,"")</f>
      </c>
      <c r="C91" s="42">
        <f>IF((ROW()-3)&lt;=('首頁'!$B$8*12),G91*'首頁'!$B$7/12/100,"")</f>
      </c>
      <c r="D91" s="42">
        <f>IF((ROW()-3)&lt;=('首頁'!$B$8*12),IF(ROW()-3=('首頁'!$B$8*12),G91,MIN(G91,'首頁'!$B$6/('首頁'!$B$8*12))),"")</f>
      </c>
      <c r="E91" s="42">
        <f>IF((ROW()-3)&lt;=('首頁'!$B$8*12),G91-D91,"")</f>
      </c>
      <c r="G91" s="39">
        <f>IF((ROW()-3)&lt;=('首頁'!$B$8*12),E90,"")</f>
      </c>
    </row>
    <row r="92" ht="22" customHeight="1" spans="1:7" x14ac:dyDescent="0.25">
      <c r="A92" s="36">
        <f>IF((ROW()-3)&lt;=('首頁'!$B$8*12),ROW()-3,"")</f>
      </c>
      <c r="B92" s="37">
        <f>IF((ROW()-3)&lt;=('首頁'!$B$8*12),C92+D92,"")</f>
      </c>
      <c r="C92" s="38">
        <f>IF((ROW()-3)&lt;=('首頁'!$B$8*12),G92*'首頁'!$B$7/12/100,"")</f>
      </c>
      <c r="D92" s="38">
        <f>IF((ROW()-3)&lt;=('首頁'!$B$8*12),IF(ROW()-3=('首頁'!$B$8*12),G92,MIN(G92,'首頁'!$B$6/('首頁'!$B$8*12))),"")</f>
      </c>
      <c r="E92" s="38">
        <f>IF((ROW()-3)&lt;=('首頁'!$B$8*12),G92-D92,"")</f>
      </c>
      <c r="G92" s="39">
        <f>IF((ROW()-3)&lt;=('首頁'!$B$8*12),E91,"")</f>
      </c>
    </row>
    <row r="93" ht="22" customHeight="1" spans="1:7" x14ac:dyDescent="0.25">
      <c r="A93" s="40">
        <f>IF((ROW()-3)&lt;=('首頁'!$B$8*12),ROW()-3,"")</f>
      </c>
      <c r="B93" s="41">
        <f>IF((ROW()-3)&lt;=('首頁'!$B$8*12),C93+D93,"")</f>
      </c>
      <c r="C93" s="42">
        <f>IF((ROW()-3)&lt;=('首頁'!$B$8*12),G93*'首頁'!$B$7/12/100,"")</f>
      </c>
      <c r="D93" s="42">
        <f>IF((ROW()-3)&lt;=('首頁'!$B$8*12),IF(ROW()-3=('首頁'!$B$8*12),G93,MIN(G93,'首頁'!$B$6/('首頁'!$B$8*12))),"")</f>
      </c>
      <c r="E93" s="42">
        <f>IF((ROW()-3)&lt;=('首頁'!$B$8*12),G93-D93,"")</f>
      </c>
      <c r="G93" s="39">
        <f>IF((ROW()-3)&lt;=('首頁'!$B$8*12),E92,"")</f>
      </c>
    </row>
    <row r="94" ht="22" customHeight="1" spans="1:7" x14ac:dyDescent="0.25">
      <c r="A94" s="36">
        <f>IF((ROW()-3)&lt;=('首頁'!$B$8*12),ROW()-3,"")</f>
      </c>
      <c r="B94" s="37">
        <f>IF((ROW()-3)&lt;=('首頁'!$B$8*12),C94+D94,"")</f>
      </c>
      <c r="C94" s="38">
        <f>IF((ROW()-3)&lt;=('首頁'!$B$8*12),G94*'首頁'!$B$7/12/100,"")</f>
      </c>
      <c r="D94" s="38">
        <f>IF((ROW()-3)&lt;=('首頁'!$B$8*12),IF(ROW()-3=('首頁'!$B$8*12),G94,MIN(G94,'首頁'!$B$6/('首頁'!$B$8*12))),"")</f>
      </c>
      <c r="E94" s="38">
        <f>IF((ROW()-3)&lt;=('首頁'!$B$8*12),G94-D94,"")</f>
      </c>
      <c r="G94" s="39">
        <f>IF((ROW()-3)&lt;=('首頁'!$B$8*12),E93,"")</f>
      </c>
    </row>
    <row r="95" ht="22" customHeight="1" spans="1:7" x14ac:dyDescent="0.25">
      <c r="A95" s="40">
        <f>IF((ROW()-3)&lt;=('首頁'!$B$8*12),ROW()-3,"")</f>
      </c>
      <c r="B95" s="41">
        <f>IF((ROW()-3)&lt;=('首頁'!$B$8*12),C95+D95,"")</f>
      </c>
      <c r="C95" s="42">
        <f>IF((ROW()-3)&lt;=('首頁'!$B$8*12),G95*'首頁'!$B$7/12/100,"")</f>
      </c>
      <c r="D95" s="42">
        <f>IF((ROW()-3)&lt;=('首頁'!$B$8*12),IF(ROW()-3=('首頁'!$B$8*12),G95,MIN(G95,'首頁'!$B$6/('首頁'!$B$8*12))),"")</f>
      </c>
      <c r="E95" s="42">
        <f>IF((ROW()-3)&lt;=('首頁'!$B$8*12),G95-D95,"")</f>
      </c>
      <c r="G95" s="39">
        <f>IF((ROW()-3)&lt;=('首頁'!$B$8*12),E94,"")</f>
      </c>
    </row>
    <row r="96" ht="22" customHeight="1" spans="1:7" x14ac:dyDescent="0.25">
      <c r="A96" s="36">
        <f>IF((ROW()-3)&lt;=('首頁'!$B$8*12),ROW()-3,"")</f>
      </c>
      <c r="B96" s="37">
        <f>IF((ROW()-3)&lt;=('首頁'!$B$8*12),C96+D96,"")</f>
      </c>
      <c r="C96" s="38">
        <f>IF((ROW()-3)&lt;=('首頁'!$B$8*12),G96*'首頁'!$B$7/12/100,"")</f>
      </c>
      <c r="D96" s="38">
        <f>IF((ROW()-3)&lt;=('首頁'!$B$8*12),IF(ROW()-3=('首頁'!$B$8*12),G96,MIN(G96,'首頁'!$B$6/('首頁'!$B$8*12))),"")</f>
      </c>
      <c r="E96" s="38">
        <f>IF((ROW()-3)&lt;=('首頁'!$B$8*12),G96-D96,"")</f>
      </c>
      <c r="G96" s="39">
        <f>IF((ROW()-3)&lt;=('首頁'!$B$8*12),E95,"")</f>
      </c>
    </row>
    <row r="97" ht="22" customHeight="1" spans="1:7" x14ac:dyDescent="0.25">
      <c r="A97" s="40">
        <f>IF((ROW()-3)&lt;=('首頁'!$B$8*12),ROW()-3,"")</f>
      </c>
      <c r="B97" s="41">
        <f>IF((ROW()-3)&lt;=('首頁'!$B$8*12),C97+D97,"")</f>
      </c>
      <c r="C97" s="42">
        <f>IF((ROW()-3)&lt;=('首頁'!$B$8*12),G97*'首頁'!$B$7/12/100,"")</f>
      </c>
      <c r="D97" s="42">
        <f>IF((ROW()-3)&lt;=('首頁'!$B$8*12),IF(ROW()-3=('首頁'!$B$8*12),G97,MIN(G97,'首頁'!$B$6/('首頁'!$B$8*12))),"")</f>
      </c>
      <c r="E97" s="42">
        <f>IF((ROW()-3)&lt;=('首頁'!$B$8*12),G97-D97,"")</f>
      </c>
      <c r="G97" s="39">
        <f>IF((ROW()-3)&lt;=('首頁'!$B$8*12),E96,"")</f>
      </c>
    </row>
    <row r="98" ht="22" customHeight="1" spans="1:7" x14ac:dyDescent="0.25">
      <c r="A98" s="36">
        <f>IF((ROW()-3)&lt;=('首頁'!$B$8*12),ROW()-3,"")</f>
      </c>
      <c r="B98" s="37">
        <f>IF((ROW()-3)&lt;=('首頁'!$B$8*12),C98+D98,"")</f>
      </c>
      <c r="C98" s="38">
        <f>IF((ROW()-3)&lt;=('首頁'!$B$8*12),G98*'首頁'!$B$7/12/100,"")</f>
      </c>
      <c r="D98" s="38">
        <f>IF((ROW()-3)&lt;=('首頁'!$B$8*12),IF(ROW()-3=('首頁'!$B$8*12),G98,MIN(G98,'首頁'!$B$6/('首頁'!$B$8*12))),"")</f>
      </c>
      <c r="E98" s="38">
        <f>IF((ROW()-3)&lt;=('首頁'!$B$8*12),G98-D98,"")</f>
      </c>
      <c r="G98" s="39">
        <f>IF((ROW()-3)&lt;=('首頁'!$B$8*12),E97,"")</f>
      </c>
    </row>
    <row r="99" ht="22" customHeight="1" spans="1:7" x14ac:dyDescent="0.25">
      <c r="A99" s="40">
        <f>IF((ROW()-3)&lt;=('首頁'!$B$8*12),ROW()-3,"")</f>
      </c>
      <c r="B99" s="41">
        <f>IF((ROW()-3)&lt;=('首頁'!$B$8*12),C99+D99,"")</f>
      </c>
      <c r="C99" s="42">
        <f>IF((ROW()-3)&lt;=('首頁'!$B$8*12),G99*'首頁'!$B$7/12/100,"")</f>
      </c>
      <c r="D99" s="42">
        <f>IF((ROW()-3)&lt;=('首頁'!$B$8*12),IF(ROW()-3=('首頁'!$B$8*12),G99,MIN(G99,'首頁'!$B$6/('首頁'!$B$8*12))),"")</f>
      </c>
      <c r="E99" s="42">
        <f>IF((ROW()-3)&lt;=('首頁'!$B$8*12),G99-D99,"")</f>
      </c>
      <c r="G99" s="39">
        <f>IF((ROW()-3)&lt;=('首頁'!$B$8*12),E98,"")</f>
      </c>
    </row>
    <row r="100" ht="22" customHeight="1" spans="1:7" x14ac:dyDescent="0.25">
      <c r="A100" s="36">
        <f>IF((ROW()-3)&lt;=('首頁'!$B$8*12),ROW()-3,"")</f>
      </c>
      <c r="B100" s="37">
        <f>IF((ROW()-3)&lt;=('首頁'!$B$8*12),C100+D100,"")</f>
      </c>
      <c r="C100" s="38">
        <f>IF((ROW()-3)&lt;=('首頁'!$B$8*12),G100*'首頁'!$B$7/12/100,"")</f>
      </c>
      <c r="D100" s="38">
        <f>IF((ROW()-3)&lt;=('首頁'!$B$8*12),IF(ROW()-3=('首頁'!$B$8*12),G100,MIN(G100,'首頁'!$B$6/('首頁'!$B$8*12))),"")</f>
      </c>
      <c r="E100" s="38">
        <f>IF((ROW()-3)&lt;=('首頁'!$B$8*12),G100-D100,"")</f>
      </c>
      <c r="G100" s="39">
        <f>IF((ROW()-3)&lt;=('首頁'!$B$8*12),E99,"")</f>
      </c>
    </row>
    <row r="101" ht="22" customHeight="1" spans="1:7" x14ac:dyDescent="0.25">
      <c r="A101" s="40">
        <f>IF((ROW()-3)&lt;=('首頁'!$B$8*12),ROW()-3,"")</f>
      </c>
      <c r="B101" s="41">
        <f>IF((ROW()-3)&lt;=('首頁'!$B$8*12),C101+D101,"")</f>
      </c>
      <c r="C101" s="42">
        <f>IF((ROW()-3)&lt;=('首頁'!$B$8*12),G101*'首頁'!$B$7/12/100,"")</f>
      </c>
      <c r="D101" s="42">
        <f>IF((ROW()-3)&lt;=('首頁'!$B$8*12),IF(ROW()-3=('首頁'!$B$8*12),G101,MIN(G101,'首頁'!$B$6/('首頁'!$B$8*12))),"")</f>
      </c>
      <c r="E101" s="42">
        <f>IF((ROW()-3)&lt;=('首頁'!$B$8*12),G101-D101,"")</f>
      </c>
      <c r="G101" s="39">
        <f>IF((ROW()-3)&lt;=('首頁'!$B$8*12),E100,"")</f>
      </c>
    </row>
    <row r="102" ht="22" customHeight="1" spans="1:7" x14ac:dyDescent="0.25">
      <c r="A102" s="36">
        <f>IF((ROW()-3)&lt;=('首頁'!$B$8*12),ROW()-3,"")</f>
      </c>
      <c r="B102" s="37">
        <f>IF((ROW()-3)&lt;=('首頁'!$B$8*12),C102+D102,"")</f>
      </c>
      <c r="C102" s="38">
        <f>IF((ROW()-3)&lt;=('首頁'!$B$8*12),G102*'首頁'!$B$7/12/100,"")</f>
      </c>
      <c r="D102" s="38">
        <f>IF((ROW()-3)&lt;=('首頁'!$B$8*12),IF(ROW()-3=('首頁'!$B$8*12),G102,MIN(G102,'首頁'!$B$6/('首頁'!$B$8*12))),"")</f>
      </c>
      <c r="E102" s="38">
        <f>IF((ROW()-3)&lt;=('首頁'!$B$8*12),G102-D102,"")</f>
      </c>
      <c r="G102" s="39">
        <f>IF((ROW()-3)&lt;=('首頁'!$B$8*12),E101,"")</f>
      </c>
    </row>
    <row r="103" ht="22" customHeight="1" spans="1:7" x14ac:dyDescent="0.25">
      <c r="A103" s="40">
        <f>IF((ROW()-3)&lt;=('首頁'!$B$8*12),ROW()-3,"")</f>
      </c>
      <c r="B103" s="41">
        <f>IF((ROW()-3)&lt;=('首頁'!$B$8*12),C103+D103,"")</f>
      </c>
      <c r="C103" s="42">
        <f>IF((ROW()-3)&lt;=('首頁'!$B$8*12),G103*'首頁'!$B$7/12/100,"")</f>
      </c>
      <c r="D103" s="42">
        <f>IF((ROW()-3)&lt;=('首頁'!$B$8*12),IF(ROW()-3=('首頁'!$B$8*12),G103,MIN(G103,'首頁'!$B$6/('首頁'!$B$8*12))),"")</f>
      </c>
      <c r="E103" s="42">
        <f>IF((ROW()-3)&lt;=('首頁'!$B$8*12),G103-D103,"")</f>
      </c>
      <c r="G103" s="39">
        <f>IF((ROW()-3)&lt;=('首頁'!$B$8*12),E102,"")</f>
      </c>
    </row>
    <row r="104" ht="22" customHeight="1" spans="1:7" x14ac:dyDescent="0.25">
      <c r="A104" s="36">
        <f>IF((ROW()-3)&lt;=('首頁'!$B$8*12),ROW()-3,"")</f>
      </c>
      <c r="B104" s="37">
        <f>IF((ROW()-3)&lt;=('首頁'!$B$8*12),C104+D104,"")</f>
      </c>
      <c r="C104" s="38">
        <f>IF((ROW()-3)&lt;=('首頁'!$B$8*12),G104*'首頁'!$B$7/12/100,"")</f>
      </c>
      <c r="D104" s="38">
        <f>IF((ROW()-3)&lt;=('首頁'!$B$8*12),IF(ROW()-3=('首頁'!$B$8*12),G104,MIN(G104,'首頁'!$B$6/('首頁'!$B$8*12))),"")</f>
      </c>
      <c r="E104" s="38">
        <f>IF((ROW()-3)&lt;=('首頁'!$B$8*12),G104-D104,"")</f>
      </c>
      <c r="G104" s="39">
        <f>IF((ROW()-3)&lt;=('首頁'!$B$8*12),E103,"")</f>
      </c>
    </row>
    <row r="105" ht="22" customHeight="1" spans="1:7" x14ac:dyDescent="0.25">
      <c r="A105" s="40">
        <f>IF((ROW()-3)&lt;=('首頁'!$B$8*12),ROW()-3,"")</f>
      </c>
      <c r="B105" s="41">
        <f>IF((ROW()-3)&lt;=('首頁'!$B$8*12),C105+D105,"")</f>
      </c>
      <c r="C105" s="42">
        <f>IF((ROW()-3)&lt;=('首頁'!$B$8*12),G105*'首頁'!$B$7/12/100,"")</f>
      </c>
      <c r="D105" s="42">
        <f>IF((ROW()-3)&lt;=('首頁'!$B$8*12),IF(ROW()-3=('首頁'!$B$8*12),G105,MIN(G105,'首頁'!$B$6/('首頁'!$B$8*12))),"")</f>
      </c>
      <c r="E105" s="42">
        <f>IF((ROW()-3)&lt;=('首頁'!$B$8*12),G105-D105,"")</f>
      </c>
      <c r="G105" s="39">
        <f>IF((ROW()-3)&lt;=('首頁'!$B$8*12),E104,"")</f>
      </c>
    </row>
    <row r="106" ht="22" customHeight="1" spans="1:7" x14ac:dyDescent="0.25">
      <c r="A106" s="36">
        <f>IF((ROW()-3)&lt;=('首頁'!$B$8*12),ROW()-3,"")</f>
      </c>
      <c r="B106" s="37">
        <f>IF((ROW()-3)&lt;=('首頁'!$B$8*12),C106+D106,"")</f>
      </c>
      <c r="C106" s="38">
        <f>IF((ROW()-3)&lt;=('首頁'!$B$8*12),G106*'首頁'!$B$7/12/100,"")</f>
      </c>
      <c r="D106" s="38">
        <f>IF((ROW()-3)&lt;=('首頁'!$B$8*12),IF(ROW()-3=('首頁'!$B$8*12),G106,MIN(G106,'首頁'!$B$6/('首頁'!$B$8*12))),"")</f>
      </c>
      <c r="E106" s="38">
        <f>IF((ROW()-3)&lt;=('首頁'!$B$8*12),G106-D106,"")</f>
      </c>
      <c r="G106" s="39">
        <f>IF((ROW()-3)&lt;=('首頁'!$B$8*12),E105,"")</f>
      </c>
    </row>
    <row r="107" ht="22" customHeight="1" spans="1:7" x14ac:dyDescent="0.25">
      <c r="A107" s="40">
        <f>IF((ROW()-3)&lt;=('首頁'!$B$8*12),ROW()-3,"")</f>
      </c>
      <c r="B107" s="41">
        <f>IF((ROW()-3)&lt;=('首頁'!$B$8*12),C107+D107,"")</f>
      </c>
      <c r="C107" s="42">
        <f>IF((ROW()-3)&lt;=('首頁'!$B$8*12),G107*'首頁'!$B$7/12/100,"")</f>
      </c>
      <c r="D107" s="42">
        <f>IF((ROW()-3)&lt;=('首頁'!$B$8*12),IF(ROW()-3=('首頁'!$B$8*12),G107,MIN(G107,'首頁'!$B$6/('首頁'!$B$8*12))),"")</f>
      </c>
      <c r="E107" s="42">
        <f>IF((ROW()-3)&lt;=('首頁'!$B$8*12),G107-D107,"")</f>
      </c>
      <c r="G107" s="39">
        <f>IF((ROW()-3)&lt;=('首頁'!$B$8*12),E106,"")</f>
      </c>
    </row>
    <row r="108" ht="22" customHeight="1" spans="1:7" x14ac:dyDescent="0.25">
      <c r="A108" s="36">
        <f>IF((ROW()-3)&lt;=('首頁'!$B$8*12),ROW()-3,"")</f>
      </c>
      <c r="B108" s="37">
        <f>IF((ROW()-3)&lt;=('首頁'!$B$8*12),C108+D108,"")</f>
      </c>
      <c r="C108" s="38">
        <f>IF((ROW()-3)&lt;=('首頁'!$B$8*12),G108*'首頁'!$B$7/12/100,"")</f>
      </c>
      <c r="D108" s="38">
        <f>IF((ROW()-3)&lt;=('首頁'!$B$8*12),IF(ROW()-3=('首頁'!$B$8*12),G108,MIN(G108,'首頁'!$B$6/('首頁'!$B$8*12))),"")</f>
      </c>
      <c r="E108" s="38">
        <f>IF((ROW()-3)&lt;=('首頁'!$B$8*12),G108-D108,"")</f>
      </c>
      <c r="G108" s="39">
        <f>IF((ROW()-3)&lt;=('首頁'!$B$8*12),E107,"")</f>
      </c>
    </row>
    <row r="109" ht="22" customHeight="1" spans="1:7" x14ac:dyDescent="0.25">
      <c r="A109" s="40">
        <f>IF((ROW()-3)&lt;=('首頁'!$B$8*12),ROW()-3,"")</f>
      </c>
      <c r="B109" s="41">
        <f>IF((ROW()-3)&lt;=('首頁'!$B$8*12),C109+D109,"")</f>
      </c>
      <c r="C109" s="42">
        <f>IF((ROW()-3)&lt;=('首頁'!$B$8*12),G109*'首頁'!$B$7/12/100,"")</f>
      </c>
      <c r="D109" s="42">
        <f>IF((ROW()-3)&lt;=('首頁'!$B$8*12),IF(ROW()-3=('首頁'!$B$8*12),G109,MIN(G109,'首頁'!$B$6/('首頁'!$B$8*12))),"")</f>
      </c>
      <c r="E109" s="42">
        <f>IF((ROW()-3)&lt;=('首頁'!$B$8*12),G109-D109,"")</f>
      </c>
      <c r="G109" s="39">
        <f>IF((ROW()-3)&lt;=('首頁'!$B$8*12),E108,"")</f>
      </c>
    </row>
    <row r="110" ht="22" customHeight="1" spans="1:7" x14ac:dyDescent="0.25">
      <c r="A110" s="36">
        <f>IF((ROW()-3)&lt;=('首頁'!$B$8*12),ROW()-3,"")</f>
      </c>
      <c r="B110" s="37">
        <f>IF((ROW()-3)&lt;=('首頁'!$B$8*12),C110+D110,"")</f>
      </c>
      <c r="C110" s="38">
        <f>IF((ROW()-3)&lt;=('首頁'!$B$8*12),G110*'首頁'!$B$7/12/100,"")</f>
      </c>
      <c r="D110" s="38">
        <f>IF((ROW()-3)&lt;=('首頁'!$B$8*12),IF(ROW()-3=('首頁'!$B$8*12),G110,MIN(G110,'首頁'!$B$6/('首頁'!$B$8*12))),"")</f>
      </c>
      <c r="E110" s="38">
        <f>IF((ROW()-3)&lt;=('首頁'!$B$8*12),G110-D110,"")</f>
      </c>
      <c r="G110" s="39">
        <f>IF((ROW()-3)&lt;=('首頁'!$B$8*12),E109,"")</f>
      </c>
    </row>
    <row r="111" ht="22" customHeight="1" spans="1:7" x14ac:dyDescent="0.25">
      <c r="A111" s="40">
        <f>IF((ROW()-3)&lt;=('首頁'!$B$8*12),ROW()-3,"")</f>
      </c>
      <c r="B111" s="41">
        <f>IF((ROW()-3)&lt;=('首頁'!$B$8*12),C111+D111,"")</f>
      </c>
      <c r="C111" s="42">
        <f>IF((ROW()-3)&lt;=('首頁'!$B$8*12),G111*'首頁'!$B$7/12/100,"")</f>
      </c>
      <c r="D111" s="42">
        <f>IF((ROW()-3)&lt;=('首頁'!$B$8*12),IF(ROW()-3=('首頁'!$B$8*12),G111,MIN(G111,'首頁'!$B$6/('首頁'!$B$8*12))),"")</f>
      </c>
      <c r="E111" s="42">
        <f>IF((ROW()-3)&lt;=('首頁'!$B$8*12),G111-D111,"")</f>
      </c>
      <c r="G111" s="39">
        <f>IF((ROW()-3)&lt;=('首頁'!$B$8*12),E110,"")</f>
      </c>
    </row>
    <row r="112" ht="22" customHeight="1" spans="1:7" x14ac:dyDescent="0.25">
      <c r="A112" s="36">
        <f>IF((ROW()-3)&lt;=('首頁'!$B$8*12),ROW()-3,"")</f>
      </c>
      <c r="B112" s="37">
        <f>IF((ROW()-3)&lt;=('首頁'!$B$8*12),C112+D112,"")</f>
      </c>
      <c r="C112" s="38">
        <f>IF((ROW()-3)&lt;=('首頁'!$B$8*12),G112*'首頁'!$B$7/12/100,"")</f>
      </c>
      <c r="D112" s="38">
        <f>IF((ROW()-3)&lt;=('首頁'!$B$8*12),IF(ROW()-3=('首頁'!$B$8*12),G112,MIN(G112,'首頁'!$B$6/('首頁'!$B$8*12))),"")</f>
      </c>
      <c r="E112" s="38">
        <f>IF((ROW()-3)&lt;=('首頁'!$B$8*12),G112-D112,"")</f>
      </c>
      <c r="G112" s="39">
        <f>IF((ROW()-3)&lt;=('首頁'!$B$8*12),E111,"")</f>
      </c>
    </row>
    <row r="113" ht="22" customHeight="1" spans="1:7" x14ac:dyDescent="0.25">
      <c r="A113" s="40">
        <f>IF((ROW()-3)&lt;=('首頁'!$B$8*12),ROW()-3,"")</f>
      </c>
      <c r="B113" s="41">
        <f>IF((ROW()-3)&lt;=('首頁'!$B$8*12),C113+D113,"")</f>
      </c>
      <c r="C113" s="42">
        <f>IF((ROW()-3)&lt;=('首頁'!$B$8*12),G113*'首頁'!$B$7/12/100,"")</f>
      </c>
      <c r="D113" s="42">
        <f>IF((ROW()-3)&lt;=('首頁'!$B$8*12),IF(ROW()-3=('首頁'!$B$8*12),G113,MIN(G113,'首頁'!$B$6/('首頁'!$B$8*12))),"")</f>
      </c>
      <c r="E113" s="42">
        <f>IF((ROW()-3)&lt;=('首頁'!$B$8*12),G113-D113,"")</f>
      </c>
      <c r="G113" s="39">
        <f>IF((ROW()-3)&lt;=('首頁'!$B$8*12),E112,"")</f>
      </c>
    </row>
    <row r="114" ht="22" customHeight="1" spans="1:7" x14ac:dyDescent="0.25">
      <c r="A114" s="36">
        <f>IF((ROW()-3)&lt;=('首頁'!$B$8*12),ROW()-3,"")</f>
      </c>
      <c r="B114" s="37">
        <f>IF((ROW()-3)&lt;=('首頁'!$B$8*12),C114+D114,"")</f>
      </c>
      <c r="C114" s="38">
        <f>IF((ROW()-3)&lt;=('首頁'!$B$8*12),G114*'首頁'!$B$7/12/100,"")</f>
      </c>
      <c r="D114" s="38">
        <f>IF((ROW()-3)&lt;=('首頁'!$B$8*12),IF(ROW()-3=('首頁'!$B$8*12),G114,MIN(G114,'首頁'!$B$6/('首頁'!$B$8*12))),"")</f>
      </c>
      <c r="E114" s="38">
        <f>IF((ROW()-3)&lt;=('首頁'!$B$8*12),G114-D114,"")</f>
      </c>
      <c r="G114" s="39">
        <f>IF((ROW()-3)&lt;=('首頁'!$B$8*12),E113,"")</f>
      </c>
    </row>
    <row r="115" ht="22" customHeight="1" spans="1:7" x14ac:dyDescent="0.25">
      <c r="A115" s="40">
        <f>IF((ROW()-3)&lt;=('首頁'!$B$8*12),ROW()-3,"")</f>
      </c>
      <c r="B115" s="41">
        <f>IF((ROW()-3)&lt;=('首頁'!$B$8*12),C115+D115,"")</f>
      </c>
      <c r="C115" s="42">
        <f>IF((ROW()-3)&lt;=('首頁'!$B$8*12),G115*'首頁'!$B$7/12/100,"")</f>
      </c>
      <c r="D115" s="42">
        <f>IF((ROW()-3)&lt;=('首頁'!$B$8*12),IF(ROW()-3=('首頁'!$B$8*12),G115,MIN(G115,'首頁'!$B$6/('首頁'!$B$8*12))),"")</f>
      </c>
      <c r="E115" s="42">
        <f>IF((ROW()-3)&lt;=('首頁'!$B$8*12),G115-D115,"")</f>
      </c>
      <c r="G115" s="39">
        <f>IF((ROW()-3)&lt;=('首頁'!$B$8*12),E114,"")</f>
      </c>
    </row>
    <row r="116" ht="22" customHeight="1" spans="1:7" x14ac:dyDescent="0.25">
      <c r="A116" s="36">
        <f>IF((ROW()-3)&lt;=('首頁'!$B$8*12),ROW()-3,"")</f>
      </c>
      <c r="B116" s="37">
        <f>IF((ROW()-3)&lt;=('首頁'!$B$8*12),C116+D116,"")</f>
      </c>
      <c r="C116" s="38">
        <f>IF((ROW()-3)&lt;=('首頁'!$B$8*12),G116*'首頁'!$B$7/12/100,"")</f>
      </c>
      <c r="D116" s="38">
        <f>IF((ROW()-3)&lt;=('首頁'!$B$8*12),IF(ROW()-3=('首頁'!$B$8*12),G116,MIN(G116,'首頁'!$B$6/('首頁'!$B$8*12))),"")</f>
      </c>
      <c r="E116" s="38">
        <f>IF((ROW()-3)&lt;=('首頁'!$B$8*12),G116-D116,"")</f>
      </c>
      <c r="G116" s="39">
        <f>IF((ROW()-3)&lt;=('首頁'!$B$8*12),E115,"")</f>
      </c>
    </row>
    <row r="117" ht="22" customHeight="1" spans="1:7" x14ac:dyDescent="0.25">
      <c r="A117" s="40">
        <f>IF((ROW()-3)&lt;=('首頁'!$B$8*12),ROW()-3,"")</f>
      </c>
      <c r="B117" s="41">
        <f>IF((ROW()-3)&lt;=('首頁'!$B$8*12),C117+D117,"")</f>
      </c>
      <c r="C117" s="42">
        <f>IF((ROW()-3)&lt;=('首頁'!$B$8*12),G117*'首頁'!$B$7/12/100,"")</f>
      </c>
      <c r="D117" s="42">
        <f>IF((ROW()-3)&lt;=('首頁'!$B$8*12),IF(ROW()-3=('首頁'!$B$8*12),G117,MIN(G117,'首頁'!$B$6/('首頁'!$B$8*12))),"")</f>
      </c>
      <c r="E117" s="42">
        <f>IF((ROW()-3)&lt;=('首頁'!$B$8*12),G117-D117,"")</f>
      </c>
      <c r="G117" s="39">
        <f>IF((ROW()-3)&lt;=('首頁'!$B$8*12),E116,"")</f>
      </c>
    </row>
    <row r="118" ht="22" customHeight="1" spans="1:7" x14ac:dyDescent="0.25">
      <c r="A118" s="36">
        <f>IF((ROW()-3)&lt;=('首頁'!$B$8*12),ROW()-3,"")</f>
      </c>
      <c r="B118" s="37">
        <f>IF((ROW()-3)&lt;=('首頁'!$B$8*12),C118+D118,"")</f>
      </c>
      <c r="C118" s="38">
        <f>IF((ROW()-3)&lt;=('首頁'!$B$8*12),G118*'首頁'!$B$7/12/100,"")</f>
      </c>
      <c r="D118" s="38">
        <f>IF((ROW()-3)&lt;=('首頁'!$B$8*12),IF(ROW()-3=('首頁'!$B$8*12),G118,MIN(G118,'首頁'!$B$6/('首頁'!$B$8*12))),"")</f>
      </c>
      <c r="E118" s="38">
        <f>IF((ROW()-3)&lt;=('首頁'!$B$8*12),G118-D118,"")</f>
      </c>
      <c r="G118" s="39">
        <f>IF((ROW()-3)&lt;=('首頁'!$B$8*12),E117,"")</f>
      </c>
    </row>
    <row r="119" ht="22" customHeight="1" spans="1:7" x14ac:dyDescent="0.25">
      <c r="A119" s="40">
        <f>IF((ROW()-3)&lt;=('首頁'!$B$8*12),ROW()-3,"")</f>
      </c>
      <c r="B119" s="41">
        <f>IF((ROW()-3)&lt;=('首頁'!$B$8*12),C119+D119,"")</f>
      </c>
      <c r="C119" s="42">
        <f>IF((ROW()-3)&lt;=('首頁'!$B$8*12),G119*'首頁'!$B$7/12/100,"")</f>
      </c>
      <c r="D119" s="42">
        <f>IF((ROW()-3)&lt;=('首頁'!$B$8*12),IF(ROW()-3=('首頁'!$B$8*12),G119,MIN(G119,'首頁'!$B$6/('首頁'!$B$8*12))),"")</f>
      </c>
      <c r="E119" s="42">
        <f>IF((ROW()-3)&lt;=('首頁'!$B$8*12),G119-D119,"")</f>
      </c>
      <c r="G119" s="39">
        <f>IF((ROW()-3)&lt;=('首頁'!$B$8*12),E118,"")</f>
      </c>
    </row>
    <row r="120" ht="22" customHeight="1" spans="1:7" x14ac:dyDescent="0.25">
      <c r="A120" s="36">
        <f>IF((ROW()-3)&lt;=('首頁'!$B$8*12),ROW()-3,"")</f>
      </c>
      <c r="B120" s="37">
        <f>IF((ROW()-3)&lt;=('首頁'!$B$8*12),C120+D120,"")</f>
      </c>
      <c r="C120" s="38">
        <f>IF((ROW()-3)&lt;=('首頁'!$B$8*12),G120*'首頁'!$B$7/12/100,"")</f>
      </c>
      <c r="D120" s="38">
        <f>IF((ROW()-3)&lt;=('首頁'!$B$8*12),IF(ROW()-3=('首頁'!$B$8*12),G120,MIN(G120,'首頁'!$B$6/('首頁'!$B$8*12))),"")</f>
      </c>
      <c r="E120" s="38">
        <f>IF((ROW()-3)&lt;=('首頁'!$B$8*12),G120-D120,"")</f>
      </c>
      <c r="G120" s="39">
        <f>IF((ROW()-3)&lt;=('首頁'!$B$8*12),E119,"")</f>
      </c>
    </row>
    <row r="121" ht="22" customHeight="1" spans="1:7" x14ac:dyDescent="0.25">
      <c r="A121" s="40">
        <f>IF((ROW()-3)&lt;=('首頁'!$B$8*12),ROW()-3,"")</f>
      </c>
      <c r="B121" s="41">
        <f>IF((ROW()-3)&lt;=('首頁'!$B$8*12),C121+D121,"")</f>
      </c>
      <c r="C121" s="42">
        <f>IF((ROW()-3)&lt;=('首頁'!$B$8*12),G121*'首頁'!$B$7/12/100,"")</f>
      </c>
      <c r="D121" s="42">
        <f>IF((ROW()-3)&lt;=('首頁'!$B$8*12),IF(ROW()-3=('首頁'!$B$8*12),G121,MIN(G121,'首頁'!$B$6/('首頁'!$B$8*12))),"")</f>
      </c>
      <c r="E121" s="42">
        <f>IF((ROW()-3)&lt;=('首頁'!$B$8*12),G121-D121,"")</f>
      </c>
      <c r="G121" s="39">
        <f>IF((ROW()-3)&lt;=('首頁'!$B$8*12),E120,"")</f>
      </c>
    </row>
    <row r="122" ht="22" customHeight="1" spans="1:7" x14ac:dyDescent="0.25">
      <c r="A122" s="36">
        <f>IF((ROW()-3)&lt;=('首頁'!$B$8*12),ROW()-3,"")</f>
      </c>
      <c r="B122" s="37">
        <f>IF((ROW()-3)&lt;=('首頁'!$B$8*12),C122+D122,"")</f>
      </c>
      <c r="C122" s="38">
        <f>IF((ROW()-3)&lt;=('首頁'!$B$8*12),G122*'首頁'!$B$7/12/100,"")</f>
      </c>
      <c r="D122" s="38">
        <f>IF((ROW()-3)&lt;=('首頁'!$B$8*12),IF(ROW()-3=('首頁'!$B$8*12),G122,MIN(G122,'首頁'!$B$6/('首頁'!$B$8*12))),"")</f>
      </c>
      <c r="E122" s="38">
        <f>IF((ROW()-3)&lt;=('首頁'!$B$8*12),G122-D122,"")</f>
      </c>
      <c r="G122" s="39">
        <f>IF((ROW()-3)&lt;=('首頁'!$B$8*12),E121,"")</f>
      </c>
    </row>
    <row r="123" ht="22" customHeight="1" spans="1:7" x14ac:dyDescent="0.25">
      <c r="A123" s="40">
        <f>IF((ROW()-3)&lt;=('首頁'!$B$8*12),ROW()-3,"")</f>
      </c>
      <c r="B123" s="41">
        <f>IF((ROW()-3)&lt;=('首頁'!$B$8*12),C123+D123,"")</f>
      </c>
      <c r="C123" s="42">
        <f>IF((ROW()-3)&lt;=('首頁'!$B$8*12),G123*'首頁'!$B$7/12/100,"")</f>
      </c>
      <c r="D123" s="42">
        <f>IF((ROW()-3)&lt;=('首頁'!$B$8*12),IF(ROW()-3=('首頁'!$B$8*12),G123,MIN(G123,'首頁'!$B$6/('首頁'!$B$8*12))),"")</f>
      </c>
      <c r="E123" s="42">
        <f>IF((ROW()-3)&lt;=('首頁'!$B$8*12),G123-D123,"")</f>
      </c>
      <c r="G123" s="39">
        <f>IF((ROW()-3)&lt;=('首頁'!$B$8*12),E122,"")</f>
      </c>
    </row>
    <row r="124" ht="22" customHeight="1" spans="1:7" x14ac:dyDescent="0.25">
      <c r="A124" s="36">
        <f>IF((ROW()-3)&lt;=('首頁'!$B$8*12),ROW()-3,"")</f>
      </c>
      <c r="B124" s="37">
        <f>IF((ROW()-3)&lt;=('首頁'!$B$8*12),C124+D124,"")</f>
      </c>
      <c r="C124" s="38">
        <f>IF((ROW()-3)&lt;=('首頁'!$B$8*12),G124*'首頁'!$B$7/12/100,"")</f>
      </c>
      <c r="D124" s="38">
        <f>IF((ROW()-3)&lt;=('首頁'!$B$8*12),IF(ROW()-3=('首頁'!$B$8*12),G124,MIN(G124,'首頁'!$B$6/('首頁'!$B$8*12))),"")</f>
      </c>
      <c r="E124" s="38">
        <f>IF((ROW()-3)&lt;=('首頁'!$B$8*12),G124-D124,"")</f>
      </c>
      <c r="G124" s="39">
        <f>IF((ROW()-3)&lt;=('首頁'!$B$8*12),E123,"")</f>
      </c>
    </row>
    <row r="125" ht="22" customHeight="1" spans="1:7" x14ac:dyDescent="0.25">
      <c r="A125" s="40">
        <f>IF((ROW()-3)&lt;=('首頁'!$B$8*12),ROW()-3,"")</f>
      </c>
      <c r="B125" s="41">
        <f>IF((ROW()-3)&lt;=('首頁'!$B$8*12),C125+D125,"")</f>
      </c>
      <c r="C125" s="42">
        <f>IF((ROW()-3)&lt;=('首頁'!$B$8*12),G125*'首頁'!$B$7/12/100,"")</f>
      </c>
      <c r="D125" s="42">
        <f>IF((ROW()-3)&lt;=('首頁'!$B$8*12),IF(ROW()-3=('首頁'!$B$8*12),G125,MIN(G125,'首頁'!$B$6/('首頁'!$B$8*12))),"")</f>
      </c>
      <c r="E125" s="42">
        <f>IF((ROW()-3)&lt;=('首頁'!$B$8*12),G125-D125,"")</f>
      </c>
      <c r="G125" s="39">
        <f>IF((ROW()-3)&lt;=('首頁'!$B$8*12),E124,"")</f>
      </c>
    </row>
    <row r="126" ht="22" customHeight="1" spans="1:7" x14ac:dyDescent="0.25">
      <c r="A126" s="36">
        <f>IF((ROW()-3)&lt;=('首頁'!$B$8*12),ROW()-3,"")</f>
      </c>
      <c r="B126" s="37">
        <f>IF((ROW()-3)&lt;=('首頁'!$B$8*12),C126+D126,"")</f>
      </c>
      <c r="C126" s="38">
        <f>IF((ROW()-3)&lt;=('首頁'!$B$8*12),G126*'首頁'!$B$7/12/100,"")</f>
      </c>
      <c r="D126" s="38">
        <f>IF((ROW()-3)&lt;=('首頁'!$B$8*12),IF(ROW()-3=('首頁'!$B$8*12),G126,MIN(G126,'首頁'!$B$6/('首頁'!$B$8*12))),"")</f>
      </c>
      <c r="E126" s="38">
        <f>IF((ROW()-3)&lt;=('首頁'!$B$8*12),G126-D126,"")</f>
      </c>
      <c r="G126" s="39">
        <f>IF((ROW()-3)&lt;=('首頁'!$B$8*12),E125,"")</f>
      </c>
    </row>
    <row r="127" ht="22" customHeight="1" spans="1:7" x14ac:dyDescent="0.25">
      <c r="A127" s="40">
        <f>IF((ROW()-3)&lt;=('首頁'!$B$8*12),ROW()-3,"")</f>
      </c>
      <c r="B127" s="41">
        <f>IF((ROW()-3)&lt;=('首頁'!$B$8*12),C127+D127,"")</f>
      </c>
      <c r="C127" s="42">
        <f>IF((ROW()-3)&lt;=('首頁'!$B$8*12),G127*'首頁'!$B$7/12/100,"")</f>
      </c>
      <c r="D127" s="42">
        <f>IF((ROW()-3)&lt;=('首頁'!$B$8*12),IF(ROW()-3=('首頁'!$B$8*12),G127,MIN(G127,'首頁'!$B$6/('首頁'!$B$8*12))),"")</f>
      </c>
      <c r="E127" s="42">
        <f>IF((ROW()-3)&lt;=('首頁'!$B$8*12),G127-D127,"")</f>
      </c>
      <c r="G127" s="39">
        <f>IF((ROW()-3)&lt;=('首頁'!$B$8*12),E126,"")</f>
      </c>
    </row>
    <row r="128" ht="22" customHeight="1" spans="1:7" x14ac:dyDescent="0.25">
      <c r="A128" s="36">
        <f>IF((ROW()-3)&lt;=('首頁'!$B$8*12),ROW()-3,"")</f>
      </c>
      <c r="B128" s="37">
        <f>IF((ROW()-3)&lt;=('首頁'!$B$8*12),C128+D128,"")</f>
      </c>
      <c r="C128" s="38">
        <f>IF((ROW()-3)&lt;=('首頁'!$B$8*12),G128*'首頁'!$B$7/12/100,"")</f>
      </c>
      <c r="D128" s="38">
        <f>IF((ROW()-3)&lt;=('首頁'!$B$8*12),IF(ROW()-3=('首頁'!$B$8*12),G128,MIN(G128,'首頁'!$B$6/('首頁'!$B$8*12))),"")</f>
      </c>
      <c r="E128" s="38">
        <f>IF((ROW()-3)&lt;=('首頁'!$B$8*12),G128-D128,"")</f>
      </c>
      <c r="G128" s="39">
        <f>IF((ROW()-3)&lt;=('首頁'!$B$8*12),E127,"")</f>
      </c>
    </row>
    <row r="129" ht="22" customHeight="1" spans="1:7" x14ac:dyDescent="0.25">
      <c r="A129" s="40">
        <f>IF((ROW()-3)&lt;=('首頁'!$B$8*12),ROW()-3,"")</f>
      </c>
      <c r="B129" s="41">
        <f>IF((ROW()-3)&lt;=('首頁'!$B$8*12),C129+D129,"")</f>
      </c>
      <c r="C129" s="42">
        <f>IF((ROW()-3)&lt;=('首頁'!$B$8*12),G129*'首頁'!$B$7/12/100,"")</f>
      </c>
      <c r="D129" s="42">
        <f>IF((ROW()-3)&lt;=('首頁'!$B$8*12),IF(ROW()-3=('首頁'!$B$8*12),G129,MIN(G129,'首頁'!$B$6/('首頁'!$B$8*12))),"")</f>
      </c>
      <c r="E129" s="42">
        <f>IF((ROW()-3)&lt;=('首頁'!$B$8*12),G129-D129,"")</f>
      </c>
      <c r="G129" s="39">
        <f>IF((ROW()-3)&lt;=('首頁'!$B$8*12),E128,"")</f>
      </c>
    </row>
    <row r="130" ht="22" customHeight="1" spans="1:7" x14ac:dyDescent="0.25">
      <c r="A130" s="36">
        <f>IF((ROW()-3)&lt;=('首頁'!$B$8*12),ROW()-3,"")</f>
      </c>
      <c r="B130" s="37">
        <f>IF((ROW()-3)&lt;=('首頁'!$B$8*12),C130+D130,"")</f>
      </c>
      <c r="C130" s="38">
        <f>IF((ROW()-3)&lt;=('首頁'!$B$8*12),G130*'首頁'!$B$7/12/100,"")</f>
      </c>
      <c r="D130" s="38">
        <f>IF((ROW()-3)&lt;=('首頁'!$B$8*12),IF(ROW()-3=('首頁'!$B$8*12),G130,MIN(G130,'首頁'!$B$6/('首頁'!$B$8*12))),"")</f>
      </c>
      <c r="E130" s="38">
        <f>IF((ROW()-3)&lt;=('首頁'!$B$8*12),G130-D130,"")</f>
      </c>
      <c r="G130" s="39">
        <f>IF((ROW()-3)&lt;=('首頁'!$B$8*12),E129,"")</f>
      </c>
    </row>
    <row r="131" ht="22" customHeight="1" spans="1:7" x14ac:dyDescent="0.25">
      <c r="A131" s="40">
        <f>IF((ROW()-3)&lt;=('首頁'!$B$8*12),ROW()-3,"")</f>
      </c>
      <c r="B131" s="41">
        <f>IF((ROW()-3)&lt;=('首頁'!$B$8*12),C131+D131,"")</f>
      </c>
      <c r="C131" s="42">
        <f>IF((ROW()-3)&lt;=('首頁'!$B$8*12),G131*'首頁'!$B$7/12/100,"")</f>
      </c>
      <c r="D131" s="42">
        <f>IF((ROW()-3)&lt;=('首頁'!$B$8*12),IF(ROW()-3=('首頁'!$B$8*12),G131,MIN(G131,'首頁'!$B$6/('首頁'!$B$8*12))),"")</f>
      </c>
      <c r="E131" s="42">
        <f>IF((ROW()-3)&lt;=('首頁'!$B$8*12),G131-D131,"")</f>
      </c>
      <c r="G131" s="39">
        <f>IF((ROW()-3)&lt;=('首頁'!$B$8*12),E130,"")</f>
      </c>
    </row>
    <row r="132" ht="22" customHeight="1" spans="1:7" x14ac:dyDescent="0.25">
      <c r="A132" s="36">
        <f>IF((ROW()-3)&lt;=('首頁'!$B$8*12),ROW()-3,"")</f>
      </c>
      <c r="B132" s="37">
        <f>IF((ROW()-3)&lt;=('首頁'!$B$8*12),C132+D132,"")</f>
      </c>
      <c r="C132" s="38">
        <f>IF((ROW()-3)&lt;=('首頁'!$B$8*12),G132*'首頁'!$B$7/12/100,"")</f>
      </c>
      <c r="D132" s="38">
        <f>IF((ROW()-3)&lt;=('首頁'!$B$8*12),IF(ROW()-3=('首頁'!$B$8*12),G132,MIN(G132,'首頁'!$B$6/('首頁'!$B$8*12))),"")</f>
      </c>
      <c r="E132" s="38">
        <f>IF((ROW()-3)&lt;=('首頁'!$B$8*12),G132-D132,"")</f>
      </c>
      <c r="G132" s="39">
        <f>IF((ROW()-3)&lt;=('首頁'!$B$8*12),E131,"")</f>
      </c>
    </row>
    <row r="133" ht="22" customHeight="1" spans="1:7" x14ac:dyDescent="0.25">
      <c r="A133" s="40">
        <f>IF((ROW()-3)&lt;=('首頁'!$B$8*12),ROW()-3,"")</f>
      </c>
      <c r="B133" s="41">
        <f>IF((ROW()-3)&lt;=('首頁'!$B$8*12),C133+D133,"")</f>
      </c>
      <c r="C133" s="42">
        <f>IF((ROW()-3)&lt;=('首頁'!$B$8*12),G133*'首頁'!$B$7/12/100,"")</f>
      </c>
      <c r="D133" s="42">
        <f>IF((ROW()-3)&lt;=('首頁'!$B$8*12),IF(ROW()-3=('首頁'!$B$8*12),G133,MIN(G133,'首頁'!$B$6/('首頁'!$B$8*12))),"")</f>
      </c>
      <c r="E133" s="42">
        <f>IF((ROW()-3)&lt;=('首頁'!$B$8*12),G133-D133,"")</f>
      </c>
      <c r="G133" s="39">
        <f>IF((ROW()-3)&lt;=('首頁'!$B$8*12),E132,"")</f>
      </c>
    </row>
    <row r="134" ht="22" customHeight="1" spans="1:7" x14ac:dyDescent="0.25">
      <c r="A134" s="36">
        <f>IF((ROW()-3)&lt;=('首頁'!$B$8*12),ROW()-3,"")</f>
      </c>
      <c r="B134" s="37">
        <f>IF((ROW()-3)&lt;=('首頁'!$B$8*12),C134+D134,"")</f>
      </c>
      <c r="C134" s="38">
        <f>IF((ROW()-3)&lt;=('首頁'!$B$8*12),G134*'首頁'!$B$7/12/100,"")</f>
      </c>
      <c r="D134" s="38">
        <f>IF((ROW()-3)&lt;=('首頁'!$B$8*12),IF(ROW()-3=('首頁'!$B$8*12),G134,MIN(G134,'首頁'!$B$6/('首頁'!$B$8*12))),"")</f>
      </c>
      <c r="E134" s="38">
        <f>IF((ROW()-3)&lt;=('首頁'!$B$8*12),G134-D134,"")</f>
      </c>
      <c r="G134" s="39">
        <f>IF((ROW()-3)&lt;=('首頁'!$B$8*12),E133,"")</f>
      </c>
    </row>
    <row r="135" ht="22" customHeight="1" spans="1:7" x14ac:dyDescent="0.25">
      <c r="A135" s="40">
        <f>IF((ROW()-3)&lt;=('首頁'!$B$8*12),ROW()-3,"")</f>
      </c>
      <c r="B135" s="41">
        <f>IF((ROW()-3)&lt;=('首頁'!$B$8*12),C135+D135,"")</f>
      </c>
      <c r="C135" s="42">
        <f>IF((ROW()-3)&lt;=('首頁'!$B$8*12),G135*'首頁'!$B$7/12/100,"")</f>
      </c>
      <c r="D135" s="42">
        <f>IF((ROW()-3)&lt;=('首頁'!$B$8*12),IF(ROW()-3=('首頁'!$B$8*12),G135,MIN(G135,'首頁'!$B$6/('首頁'!$B$8*12))),"")</f>
      </c>
      <c r="E135" s="42">
        <f>IF((ROW()-3)&lt;=('首頁'!$B$8*12),G135-D135,"")</f>
      </c>
      <c r="G135" s="39">
        <f>IF((ROW()-3)&lt;=('首頁'!$B$8*12),E134,"")</f>
      </c>
    </row>
    <row r="136" ht="22" customHeight="1" spans="1:7" x14ac:dyDescent="0.25">
      <c r="A136" s="36">
        <f>IF((ROW()-3)&lt;=('首頁'!$B$8*12),ROW()-3,"")</f>
      </c>
      <c r="B136" s="37">
        <f>IF((ROW()-3)&lt;=('首頁'!$B$8*12),C136+D136,"")</f>
      </c>
      <c r="C136" s="38">
        <f>IF((ROW()-3)&lt;=('首頁'!$B$8*12),G136*'首頁'!$B$7/12/100,"")</f>
      </c>
      <c r="D136" s="38">
        <f>IF((ROW()-3)&lt;=('首頁'!$B$8*12),IF(ROW()-3=('首頁'!$B$8*12),G136,MIN(G136,'首頁'!$B$6/('首頁'!$B$8*12))),"")</f>
      </c>
      <c r="E136" s="38">
        <f>IF((ROW()-3)&lt;=('首頁'!$B$8*12),G136-D136,"")</f>
      </c>
      <c r="G136" s="39">
        <f>IF((ROW()-3)&lt;=('首頁'!$B$8*12),E135,"")</f>
      </c>
    </row>
    <row r="137" ht="22" customHeight="1" spans="1:7" x14ac:dyDescent="0.25">
      <c r="A137" s="40">
        <f>IF((ROW()-3)&lt;=('首頁'!$B$8*12),ROW()-3,"")</f>
      </c>
      <c r="B137" s="41">
        <f>IF((ROW()-3)&lt;=('首頁'!$B$8*12),C137+D137,"")</f>
      </c>
      <c r="C137" s="42">
        <f>IF((ROW()-3)&lt;=('首頁'!$B$8*12),G137*'首頁'!$B$7/12/100,"")</f>
      </c>
      <c r="D137" s="42">
        <f>IF((ROW()-3)&lt;=('首頁'!$B$8*12),IF(ROW()-3=('首頁'!$B$8*12),G137,MIN(G137,'首頁'!$B$6/('首頁'!$B$8*12))),"")</f>
      </c>
      <c r="E137" s="42">
        <f>IF((ROW()-3)&lt;=('首頁'!$B$8*12),G137-D137,"")</f>
      </c>
      <c r="G137" s="39">
        <f>IF((ROW()-3)&lt;=('首頁'!$B$8*12),E136,"")</f>
      </c>
    </row>
    <row r="138" ht="22" customHeight="1" spans="1:7" x14ac:dyDescent="0.25">
      <c r="A138" s="36">
        <f>IF((ROW()-3)&lt;=('首頁'!$B$8*12),ROW()-3,"")</f>
      </c>
      <c r="B138" s="37">
        <f>IF((ROW()-3)&lt;=('首頁'!$B$8*12),C138+D138,"")</f>
      </c>
      <c r="C138" s="38">
        <f>IF((ROW()-3)&lt;=('首頁'!$B$8*12),G138*'首頁'!$B$7/12/100,"")</f>
      </c>
      <c r="D138" s="38">
        <f>IF((ROW()-3)&lt;=('首頁'!$B$8*12),IF(ROW()-3=('首頁'!$B$8*12),G138,MIN(G138,'首頁'!$B$6/('首頁'!$B$8*12))),"")</f>
      </c>
      <c r="E138" s="38">
        <f>IF((ROW()-3)&lt;=('首頁'!$B$8*12),G138-D138,"")</f>
      </c>
      <c r="G138" s="39">
        <f>IF((ROW()-3)&lt;=('首頁'!$B$8*12),E137,"")</f>
      </c>
    </row>
    <row r="139" ht="22" customHeight="1" spans="1:7" x14ac:dyDescent="0.25">
      <c r="A139" s="40">
        <f>IF((ROW()-3)&lt;=('首頁'!$B$8*12),ROW()-3,"")</f>
      </c>
      <c r="B139" s="41">
        <f>IF((ROW()-3)&lt;=('首頁'!$B$8*12),C139+D139,"")</f>
      </c>
      <c r="C139" s="42">
        <f>IF((ROW()-3)&lt;=('首頁'!$B$8*12),G139*'首頁'!$B$7/12/100,"")</f>
      </c>
      <c r="D139" s="42">
        <f>IF((ROW()-3)&lt;=('首頁'!$B$8*12),IF(ROW()-3=('首頁'!$B$8*12),G139,MIN(G139,'首頁'!$B$6/('首頁'!$B$8*12))),"")</f>
      </c>
      <c r="E139" s="42">
        <f>IF((ROW()-3)&lt;=('首頁'!$B$8*12),G139-D139,"")</f>
      </c>
      <c r="G139" s="39">
        <f>IF((ROW()-3)&lt;=('首頁'!$B$8*12),E138,"")</f>
      </c>
    </row>
    <row r="140" ht="22" customHeight="1" spans="1:7" x14ac:dyDescent="0.25">
      <c r="A140" s="36">
        <f>IF((ROW()-3)&lt;=('首頁'!$B$8*12),ROW()-3,"")</f>
      </c>
      <c r="B140" s="37">
        <f>IF((ROW()-3)&lt;=('首頁'!$B$8*12),C140+D140,"")</f>
      </c>
      <c r="C140" s="38">
        <f>IF((ROW()-3)&lt;=('首頁'!$B$8*12),G140*'首頁'!$B$7/12/100,"")</f>
      </c>
      <c r="D140" s="38">
        <f>IF((ROW()-3)&lt;=('首頁'!$B$8*12),IF(ROW()-3=('首頁'!$B$8*12),G140,MIN(G140,'首頁'!$B$6/('首頁'!$B$8*12))),"")</f>
      </c>
      <c r="E140" s="38">
        <f>IF((ROW()-3)&lt;=('首頁'!$B$8*12),G140-D140,"")</f>
      </c>
      <c r="G140" s="39">
        <f>IF((ROW()-3)&lt;=('首頁'!$B$8*12),E139,"")</f>
      </c>
    </row>
    <row r="141" ht="22" customHeight="1" spans="1:7" x14ac:dyDescent="0.25">
      <c r="A141" s="40">
        <f>IF((ROW()-3)&lt;=('首頁'!$B$8*12),ROW()-3,"")</f>
      </c>
      <c r="B141" s="41">
        <f>IF((ROW()-3)&lt;=('首頁'!$B$8*12),C141+D141,"")</f>
      </c>
      <c r="C141" s="42">
        <f>IF((ROW()-3)&lt;=('首頁'!$B$8*12),G141*'首頁'!$B$7/12/100,"")</f>
      </c>
      <c r="D141" s="42">
        <f>IF((ROW()-3)&lt;=('首頁'!$B$8*12),IF(ROW()-3=('首頁'!$B$8*12),G141,MIN(G141,'首頁'!$B$6/('首頁'!$B$8*12))),"")</f>
      </c>
      <c r="E141" s="42">
        <f>IF((ROW()-3)&lt;=('首頁'!$B$8*12),G141-D141,"")</f>
      </c>
      <c r="G141" s="39">
        <f>IF((ROW()-3)&lt;=('首頁'!$B$8*12),E140,"")</f>
      </c>
    </row>
    <row r="142" ht="22" customHeight="1" spans="1:7" x14ac:dyDescent="0.25">
      <c r="A142" s="36">
        <f>IF((ROW()-3)&lt;=('首頁'!$B$8*12),ROW()-3,"")</f>
      </c>
      <c r="B142" s="37">
        <f>IF((ROW()-3)&lt;=('首頁'!$B$8*12),C142+D142,"")</f>
      </c>
      <c r="C142" s="38">
        <f>IF((ROW()-3)&lt;=('首頁'!$B$8*12),G142*'首頁'!$B$7/12/100,"")</f>
      </c>
      <c r="D142" s="38">
        <f>IF((ROW()-3)&lt;=('首頁'!$B$8*12),IF(ROW()-3=('首頁'!$B$8*12),G142,MIN(G142,'首頁'!$B$6/('首頁'!$B$8*12))),"")</f>
      </c>
      <c r="E142" s="38">
        <f>IF((ROW()-3)&lt;=('首頁'!$B$8*12),G142-D142,"")</f>
      </c>
      <c r="G142" s="39">
        <f>IF((ROW()-3)&lt;=('首頁'!$B$8*12),E141,"")</f>
      </c>
    </row>
    <row r="143" ht="22" customHeight="1" spans="1:7" x14ac:dyDescent="0.25">
      <c r="A143" s="40">
        <f>IF((ROW()-3)&lt;=('首頁'!$B$8*12),ROW()-3,"")</f>
      </c>
      <c r="B143" s="41">
        <f>IF((ROW()-3)&lt;=('首頁'!$B$8*12),C143+D143,"")</f>
      </c>
      <c r="C143" s="42">
        <f>IF((ROW()-3)&lt;=('首頁'!$B$8*12),G143*'首頁'!$B$7/12/100,"")</f>
      </c>
      <c r="D143" s="42">
        <f>IF((ROW()-3)&lt;=('首頁'!$B$8*12),IF(ROW()-3=('首頁'!$B$8*12),G143,MIN(G143,'首頁'!$B$6/('首頁'!$B$8*12))),"")</f>
      </c>
      <c r="E143" s="42">
        <f>IF((ROW()-3)&lt;=('首頁'!$B$8*12),G143-D143,"")</f>
      </c>
      <c r="G143" s="39">
        <f>IF((ROW()-3)&lt;=('首頁'!$B$8*12),E142,"")</f>
      </c>
    </row>
    <row r="144" ht="22" customHeight="1" spans="1:7" x14ac:dyDescent="0.25">
      <c r="A144" s="36">
        <f>IF((ROW()-3)&lt;=('首頁'!$B$8*12),ROW()-3,"")</f>
      </c>
      <c r="B144" s="37">
        <f>IF((ROW()-3)&lt;=('首頁'!$B$8*12),C144+D144,"")</f>
      </c>
      <c r="C144" s="38">
        <f>IF((ROW()-3)&lt;=('首頁'!$B$8*12),G144*'首頁'!$B$7/12/100,"")</f>
      </c>
      <c r="D144" s="38">
        <f>IF((ROW()-3)&lt;=('首頁'!$B$8*12),IF(ROW()-3=('首頁'!$B$8*12),G144,MIN(G144,'首頁'!$B$6/('首頁'!$B$8*12))),"")</f>
      </c>
      <c r="E144" s="38">
        <f>IF((ROW()-3)&lt;=('首頁'!$B$8*12),G144-D144,"")</f>
      </c>
      <c r="G144" s="39">
        <f>IF((ROW()-3)&lt;=('首頁'!$B$8*12),E143,"")</f>
      </c>
    </row>
    <row r="145" ht="22" customHeight="1" spans="1:7" x14ac:dyDescent="0.25">
      <c r="A145" s="40">
        <f>IF((ROW()-3)&lt;=('首頁'!$B$8*12),ROW()-3,"")</f>
      </c>
      <c r="B145" s="41">
        <f>IF((ROW()-3)&lt;=('首頁'!$B$8*12),C145+D145,"")</f>
      </c>
      <c r="C145" s="42">
        <f>IF((ROW()-3)&lt;=('首頁'!$B$8*12),G145*'首頁'!$B$7/12/100,"")</f>
      </c>
      <c r="D145" s="42">
        <f>IF((ROW()-3)&lt;=('首頁'!$B$8*12),IF(ROW()-3=('首頁'!$B$8*12),G145,MIN(G145,'首頁'!$B$6/('首頁'!$B$8*12))),"")</f>
      </c>
      <c r="E145" s="42">
        <f>IF((ROW()-3)&lt;=('首頁'!$B$8*12),G145-D145,"")</f>
      </c>
      <c r="G145" s="39">
        <f>IF((ROW()-3)&lt;=('首頁'!$B$8*12),E144,"")</f>
      </c>
    </row>
    <row r="146" ht="22" customHeight="1" spans="1:7" x14ac:dyDescent="0.25">
      <c r="A146" s="36">
        <f>IF((ROW()-3)&lt;=('首頁'!$B$8*12),ROW()-3,"")</f>
      </c>
      <c r="B146" s="37">
        <f>IF((ROW()-3)&lt;=('首頁'!$B$8*12),C146+D146,"")</f>
      </c>
      <c r="C146" s="38">
        <f>IF((ROW()-3)&lt;=('首頁'!$B$8*12),G146*'首頁'!$B$7/12/100,"")</f>
      </c>
      <c r="D146" s="38">
        <f>IF((ROW()-3)&lt;=('首頁'!$B$8*12),IF(ROW()-3=('首頁'!$B$8*12),G146,MIN(G146,'首頁'!$B$6/('首頁'!$B$8*12))),"")</f>
      </c>
      <c r="E146" s="38">
        <f>IF((ROW()-3)&lt;=('首頁'!$B$8*12),G146-D146,"")</f>
      </c>
      <c r="G146" s="39">
        <f>IF((ROW()-3)&lt;=('首頁'!$B$8*12),E145,"")</f>
      </c>
    </row>
    <row r="147" ht="22" customHeight="1" spans="1:7" x14ac:dyDescent="0.25">
      <c r="A147" s="40">
        <f>IF((ROW()-3)&lt;=('首頁'!$B$8*12),ROW()-3,"")</f>
      </c>
      <c r="B147" s="41">
        <f>IF((ROW()-3)&lt;=('首頁'!$B$8*12),C147+D147,"")</f>
      </c>
      <c r="C147" s="42">
        <f>IF((ROW()-3)&lt;=('首頁'!$B$8*12),G147*'首頁'!$B$7/12/100,"")</f>
      </c>
      <c r="D147" s="42">
        <f>IF((ROW()-3)&lt;=('首頁'!$B$8*12),IF(ROW()-3=('首頁'!$B$8*12),G147,MIN(G147,'首頁'!$B$6/('首頁'!$B$8*12))),"")</f>
      </c>
      <c r="E147" s="42">
        <f>IF((ROW()-3)&lt;=('首頁'!$B$8*12),G147-D147,"")</f>
      </c>
      <c r="G147" s="39">
        <f>IF((ROW()-3)&lt;=('首頁'!$B$8*12),E146,"")</f>
      </c>
    </row>
    <row r="148" ht="22" customHeight="1" spans="1:7" x14ac:dyDescent="0.25">
      <c r="A148" s="36">
        <f>IF((ROW()-3)&lt;=('首頁'!$B$8*12),ROW()-3,"")</f>
      </c>
      <c r="B148" s="37">
        <f>IF((ROW()-3)&lt;=('首頁'!$B$8*12),C148+D148,"")</f>
      </c>
      <c r="C148" s="38">
        <f>IF((ROW()-3)&lt;=('首頁'!$B$8*12),G148*'首頁'!$B$7/12/100,"")</f>
      </c>
      <c r="D148" s="38">
        <f>IF((ROW()-3)&lt;=('首頁'!$B$8*12),IF(ROW()-3=('首頁'!$B$8*12),G148,MIN(G148,'首頁'!$B$6/('首頁'!$B$8*12))),"")</f>
      </c>
      <c r="E148" s="38">
        <f>IF((ROW()-3)&lt;=('首頁'!$B$8*12),G148-D148,"")</f>
      </c>
      <c r="G148" s="39">
        <f>IF((ROW()-3)&lt;=('首頁'!$B$8*12),E147,"")</f>
      </c>
    </row>
    <row r="149" ht="22" customHeight="1" spans="1:7" x14ac:dyDescent="0.25">
      <c r="A149" s="40">
        <f>IF((ROW()-3)&lt;=('首頁'!$B$8*12),ROW()-3,"")</f>
      </c>
      <c r="B149" s="41">
        <f>IF((ROW()-3)&lt;=('首頁'!$B$8*12),C149+D149,"")</f>
      </c>
      <c r="C149" s="42">
        <f>IF((ROW()-3)&lt;=('首頁'!$B$8*12),G149*'首頁'!$B$7/12/100,"")</f>
      </c>
      <c r="D149" s="42">
        <f>IF((ROW()-3)&lt;=('首頁'!$B$8*12),IF(ROW()-3=('首頁'!$B$8*12),G149,MIN(G149,'首頁'!$B$6/('首頁'!$B$8*12))),"")</f>
      </c>
      <c r="E149" s="42">
        <f>IF((ROW()-3)&lt;=('首頁'!$B$8*12),G149-D149,"")</f>
      </c>
      <c r="G149" s="39">
        <f>IF((ROW()-3)&lt;=('首頁'!$B$8*12),E148,"")</f>
      </c>
    </row>
    <row r="150" ht="22" customHeight="1" spans="1:7" x14ac:dyDescent="0.25">
      <c r="A150" s="36">
        <f>IF((ROW()-3)&lt;=('首頁'!$B$8*12),ROW()-3,"")</f>
      </c>
      <c r="B150" s="37">
        <f>IF((ROW()-3)&lt;=('首頁'!$B$8*12),C150+D150,"")</f>
      </c>
      <c r="C150" s="38">
        <f>IF((ROW()-3)&lt;=('首頁'!$B$8*12),G150*'首頁'!$B$7/12/100,"")</f>
      </c>
      <c r="D150" s="38">
        <f>IF((ROW()-3)&lt;=('首頁'!$B$8*12),IF(ROW()-3=('首頁'!$B$8*12),G150,MIN(G150,'首頁'!$B$6/('首頁'!$B$8*12))),"")</f>
      </c>
      <c r="E150" s="38">
        <f>IF((ROW()-3)&lt;=('首頁'!$B$8*12),G150-D150,"")</f>
      </c>
      <c r="G150" s="39">
        <f>IF((ROW()-3)&lt;=('首頁'!$B$8*12),E149,"")</f>
      </c>
    </row>
    <row r="151" ht="22" customHeight="1" spans="1:7" x14ac:dyDescent="0.25">
      <c r="A151" s="40">
        <f>IF((ROW()-3)&lt;=('首頁'!$B$8*12),ROW()-3,"")</f>
      </c>
      <c r="B151" s="41">
        <f>IF((ROW()-3)&lt;=('首頁'!$B$8*12),C151+D151,"")</f>
      </c>
      <c r="C151" s="42">
        <f>IF((ROW()-3)&lt;=('首頁'!$B$8*12),G151*'首頁'!$B$7/12/100,"")</f>
      </c>
      <c r="D151" s="42">
        <f>IF((ROW()-3)&lt;=('首頁'!$B$8*12),IF(ROW()-3=('首頁'!$B$8*12),G151,MIN(G151,'首頁'!$B$6/('首頁'!$B$8*12))),"")</f>
      </c>
      <c r="E151" s="42">
        <f>IF((ROW()-3)&lt;=('首頁'!$B$8*12),G151-D151,"")</f>
      </c>
      <c r="G151" s="39">
        <f>IF((ROW()-3)&lt;=('首頁'!$B$8*12),E150,"")</f>
      </c>
    </row>
    <row r="152" ht="22" customHeight="1" spans="1:7" x14ac:dyDescent="0.25">
      <c r="A152" s="36">
        <f>IF((ROW()-3)&lt;=('首頁'!$B$8*12),ROW()-3,"")</f>
      </c>
      <c r="B152" s="37">
        <f>IF((ROW()-3)&lt;=('首頁'!$B$8*12),C152+D152,"")</f>
      </c>
      <c r="C152" s="38">
        <f>IF((ROW()-3)&lt;=('首頁'!$B$8*12),G152*'首頁'!$B$7/12/100,"")</f>
      </c>
      <c r="D152" s="38">
        <f>IF((ROW()-3)&lt;=('首頁'!$B$8*12),IF(ROW()-3=('首頁'!$B$8*12),G152,MIN(G152,'首頁'!$B$6/('首頁'!$B$8*12))),"")</f>
      </c>
      <c r="E152" s="38">
        <f>IF((ROW()-3)&lt;=('首頁'!$B$8*12),G152-D152,"")</f>
      </c>
      <c r="G152" s="39">
        <f>IF((ROW()-3)&lt;=('首頁'!$B$8*12),E151,"")</f>
      </c>
    </row>
    <row r="153" ht="22" customHeight="1" spans="1:7" x14ac:dyDescent="0.25">
      <c r="A153" s="40">
        <f>IF((ROW()-3)&lt;=('首頁'!$B$8*12),ROW()-3,"")</f>
      </c>
      <c r="B153" s="41">
        <f>IF((ROW()-3)&lt;=('首頁'!$B$8*12),C153+D153,"")</f>
      </c>
      <c r="C153" s="42">
        <f>IF((ROW()-3)&lt;=('首頁'!$B$8*12),G153*'首頁'!$B$7/12/100,"")</f>
      </c>
      <c r="D153" s="42">
        <f>IF((ROW()-3)&lt;=('首頁'!$B$8*12),IF(ROW()-3=('首頁'!$B$8*12),G153,MIN(G153,'首頁'!$B$6/('首頁'!$B$8*12))),"")</f>
      </c>
      <c r="E153" s="42">
        <f>IF((ROW()-3)&lt;=('首頁'!$B$8*12),G153-D153,"")</f>
      </c>
      <c r="G153" s="39">
        <f>IF((ROW()-3)&lt;=('首頁'!$B$8*12),E152,"")</f>
      </c>
    </row>
    <row r="154" ht="22" customHeight="1" spans="1:7" x14ac:dyDescent="0.25">
      <c r="A154" s="36">
        <f>IF((ROW()-3)&lt;=('首頁'!$B$8*12),ROW()-3,"")</f>
      </c>
      <c r="B154" s="37">
        <f>IF((ROW()-3)&lt;=('首頁'!$B$8*12),C154+D154,"")</f>
      </c>
      <c r="C154" s="38">
        <f>IF((ROW()-3)&lt;=('首頁'!$B$8*12),G154*'首頁'!$B$7/12/100,"")</f>
      </c>
      <c r="D154" s="38">
        <f>IF((ROW()-3)&lt;=('首頁'!$B$8*12),IF(ROW()-3=('首頁'!$B$8*12),G154,MIN(G154,'首頁'!$B$6/('首頁'!$B$8*12))),"")</f>
      </c>
      <c r="E154" s="38">
        <f>IF((ROW()-3)&lt;=('首頁'!$B$8*12),G154-D154,"")</f>
      </c>
      <c r="G154" s="39">
        <f>IF((ROW()-3)&lt;=('首頁'!$B$8*12),E153,"")</f>
      </c>
    </row>
    <row r="155" ht="22" customHeight="1" spans="1:7" x14ac:dyDescent="0.25">
      <c r="A155" s="40">
        <f>IF((ROW()-3)&lt;=('首頁'!$B$8*12),ROW()-3,"")</f>
      </c>
      <c r="B155" s="41">
        <f>IF((ROW()-3)&lt;=('首頁'!$B$8*12),C155+D155,"")</f>
      </c>
      <c r="C155" s="42">
        <f>IF((ROW()-3)&lt;=('首頁'!$B$8*12),G155*'首頁'!$B$7/12/100,"")</f>
      </c>
      <c r="D155" s="42">
        <f>IF((ROW()-3)&lt;=('首頁'!$B$8*12),IF(ROW()-3=('首頁'!$B$8*12),G155,MIN(G155,'首頁'!$B$6/('首頁'!$B$8*12))),"")</f>
      </c>
      <c r="E155" s="42">
        <f>IF((ROW()-3)&lt;=('首頁'!$B$8*12),G155-D155,"")</f>
      </c>
      <c r="G155" s="39">
        <f>IF((ROW()-3)&lt;=('首頁'!$B$8*12),E154,"")</f>
      </c>
    </row>
    <row r="156" ht="22" customHeight="1" spans="1:7" x14ac:dyDescent="0.25">
      <c r="A156" s="36">
        <f>IF((ROW()-3)&lt;=('首頁'!$B$8*12),ROW()-3,"")</f>
      </c>
      <c r="B156" s="37">
        <f>IF((ROW()-3)&lt;=('首頁'!$B$8*12),C156+D156,"")</f>
      </c>
      <c r="C156" s="38">
        <f>IF((ROW()-3)&lt;=('首頁'!$B$8*12),G156*'首頁'!$B$7/12/100,"")</f>
      </c>
      <c r="D156" s="38">
        <f>IF((ROW()-3)&lt;=('首頁'!$B$8*12),IF(ROW()-3=('首頁'!$B$8*12),G156,MIN(G156,'首頁'!$B$6/('首頁'!$B$8*12))),"")</f>
      </c>
      <c r="E156" s="38">
        <f>IF((ROW()-3)&lt;=('首頁'!$B$8*12),G156-D156,"")</f>
      </c>
      <c r="G156" s="39">
        <f>IF((ROW()-3)&lt;=('首頁'!$B$8*12),E155,"")</f>
      </c>
    </row>
    <row r="157" ht="22" customHeight="1" spans="1:7" x14ac:dyDescent="0.25">
      <c r="A157" s="40">
        <f>IF((ROW()-3)&lt;=('首頁'!$B$8*12),ROW()-3,"")</f>
      </c>
      <c r="B157" s="41">
        <f>IF((ROW()-3)&lt;=('首頁'!$B$8*12),C157+D157,"")</f>
      </c>
      <c r="C157" s="42">
        <f>IF((ROW()-3)&lt;=('首頁'!$B$8*12),G157*'首頁'!$B$7/12/100,"")</f>
      </c>
      <c r="D157" s="42">
        <f>IF((ROW()-3)&lt;=('首頁'!$B$8*12),IF(ROW()-3=('首頁'!$B$8*12),G157,MIN(G157,'首頁'!$B$6/('首頁'!$B$8*12))),"")</f>
      </c>
      <c r="E157" s="42">
        <f>IF((ROW()-3)&lt;=('首頁'!$B$8*12),G157-D157,"")</f>
      </c>
      <c r="G157" s="39">
        <f>IF((ROW()-3)&lt;=('首頁'!$B$8*12),E156,"")</f>
      </c>
    </row>
    <row r="158" ht="22" customHeight="1" spans="1:7" x14ac:dyDescent="0.25">
      <c r="A158" s="36">
        <f>IF((ROW()-3)&lt;=('首頁'!$B$8*12),ROW()-3,"")</f>
      </c>
      <c r="B158" s="37">
        <f>IF((ROW()-3)&lt;=('首頁'!$B$8*12),C158+D158,"")</f>
      </c>
      <c r="C158" s="38">
        <f>IF((ROW()-3)&lt;=('首頁'!$B$8*12),G158*'首頁'!$B$7/12/100,"")</f>
      </c>
      <c r="D158" s="38">
        <f>IF((ROW()-3)&lt;=('首頁'!$B$8*12),IF(ROW()-3=('首頁'!$B$8*12),G158,MIN(G158,'首頁'!$B$6/('首頁'!$B$8*12))),"")</f>
      </c>
      <c r="E158" s="38">
        <f>IF((ROW()-3)&lt;=('首頁'!$B$8*12),G158-D158,"")</f>
      </c>
      <c r="G158" s="39">
        <f>IF((ROW()-3)&lt;=('首頁'!$B$8*12),E157,"")</f>
      </c>
    </row>
    <row r="159" ht="22" customHeight="1" spans="1:7" x14ac:dyDescent="0.25">
      <c r="A159" s="40">
        <f>IF((ROW()-3)&lt;=('首頁'!$B$8*12),ROW()-3,"")</f>
      </c>
      <c r="B159" s="41">
        <f>IF((ROW()-3)&lt;=('首頁'!$B$8*12),C159+D159,"")</f>
      </c>
      <c r="C159" s="42">
        <f>IF((ROW()-3)&lt;=('首頁'!$B$8*12),G159*'首頁'!$B$7/12/100,"")</f>
      </c>
      <c r="D159" s="42">
        <f>IF((ROW()-3)&lt;=('首頁'!$B$8*12),IF(ROW()-3=('首頁'!$B$8*12),G159,MIN(G159,'首頁'!$B$6/('首頁'!$B$8*12))),"")</f>
      </c>
      <c r="E159" s="42">
        <f>IF((ROW()-3)&lt;=('首頁'!$B$8*12),G159-D159,"")</f>
      </c>
      <c r="G159" s="39">
        <f>IF((ROW()-3)&lt;=('首頁'!$B$8*12),E158,"")</f>
      </c>
    </row>
    <row r="160" ht="22" customHeight="1" spans="1:7" x14ac:dyDescent="0.25">
      <c r="A160" s="36">
        <f>IF((ROW()-3)&lt;=('首頁'!$B$8*12),ROW()-3,"")</f>
      </c>
      <c r="B160" s="37">
        <f>IF((ROW()-3)&lt;=('首頁'!$B$8*12),C160+D160,"")</f>
      </c>
      <c r="C160" s="38">
        <f>IF((ROW()-3)&lt;=('首頁'!$B$8*12),G160*'首頁'!$B$7/12/100,"")</f>
      </c>
      <c r="D160" s="38">
        <f>IF((ROW()-3)&lt;=('首頁'!$B$8*12),IF(ROW()-3=('首頁'!$B$8*12),G160,MIN(G160,'首頁'!$B$6/('首頁'!$B$8*12))),"")</f>
      </c>
      <c r="E160" s="38">
        <f>IF((ROW()-3)&lt;=('首頁'!$B$8*12),G160-D160,"")</f>
      </c>
      <c r="G160" s="39">
        <f>IF((ROW()-3)&lt;=('首頁'!$B$8*12),E159,"")</f>
      </c>
    </row>
    <row r="161" ht="22" customHeight="1" spans="1:7" x14ac:dyDescent="0.25">
      <c r="A161" s="40">
        <f>IF((ROW()-3)&lt;=('首頁'!$B$8*12),ROW()-3,"")</f>
      </c>
      <c r="B161" s="41">
        <f>IF((ROW()-3)&lt;=('首頁'!$B$8*12),C161+D161,"")</f>
      </c>
      <c r="C161" s="42">
        <f>IF((ROW()-3)&lt;=('首頁'!$B$8*12),G161*'首頁'!$B$7/12/100,"")</f>
      </c>
      <c r="D161" s="42">
        <f>IF((ROW()-3)&lt;=('首頁'!$B$8*12),IF(ROW()-3=('首頁'!$B$8*12),G161,MIN(G161,'首頁'!$B$6/('首頁'!$B$8*12))),"")</f>
      </c>
      <c r="E161" s="42">
        <f>IF((ROW()-3)&lt;=('首頁'!$B$8*12),G161-D161,"")</f>
      </c>
      <c r="G161" s="39">
        <f>IF((ROW()-3)&lt;=('首頁'!$B$8*12),E160,"")</f>
      </c>
    </row>
    <row r="162" ht="22" customHeight="1" spans="1:7" x14ac:dyDescent="0.25">
      <c r="A162" s="36">
        <f>IF((ROW()-3)&lt;=('首頁'!$B$8*12),ROW()-3,"")</f>
      </c>
      <c r="B162" s="37">
        <f>IF((ROW()-3)&lt;=('首頁'!$B$8*12),C162+D162,"")</f>
      </c>
      <c r="C162" s="38">
        <f>IF((ROW()-3)&lt;=('首頁'!$B$8*12),G162*'首頁'!$B$7/12/100,"")</f>
      </c>
      <c r="D162" s="38">
        <f>IF((ROW()-3)&lt;=('首頁'!$B$8*12),IF(ROW()-3=('首頁'!$B$8*12),G162,MIN(G162,'首頁'!$B$6/('首頁'!$B$8*12))),"")</f>
      </c>
      <c r="E162" s="38">
        <f>IF((ROW()-3)&lt;=('首頁'!$B$8*12),G162-D162,"")</f>
      </c>
      <c r="G162" s="39">
        <f>IF((ROW()-3)&lt;=('首頁'!$B$8*12),E161,"")</f>
      </c>
    </row>
    <row r="163" ht="22" customHeight="1" spans="1:7" x14ac:dyDescent="0.25">
      <c r="A163" s="40">
        <f>IF((ROW()-3)&lt;=('首頁'!$B$8*12),ROW()-3,"")</f>
      </c>
      <c r="B163" s="41">
        <f>IF((ROW()-3)&lt;=('首頁'!$B$8*12),C163+D163,"")</f>
      </c>
      <c r="C163" s="42">
        <f>IF((ROW()-3)&lt;=('首頁'!$B$8*12),G163*'首頁'!$B$7/12/100,"")</f>
      </c>
      <c r="D163" s="42">
        <f>IF((ROW()-3)&lt;=('首頁'!$B$8*12),IF(ROW()-3=('首頁'!$B$8*12),G163,MIN(G163,'首頁'!$B$6/('首頁'!$B$8*12))),"")</f>
      </c>
      <c r="E163" s="42">
        <f>IF((ROW()-3)&lt;=('首頁'!$B$8*12),G163-D163,"")</f>
      </c>
      <c r="G163" s="39">
        <f>IF((ROW()-3)&lt;=('首頁'!$B$8*12),E162,"")</f>
      </c>
    </row>
    <row r="164" ht="22" customHeight="1" spans="1:7" x14ac:dyDescent="0.25">
      <c r="A164" s="36">
        <f>IF((ROW()-3)&lt;=('首頁'!$B$8*12),ROW()-3,"")</f>
      </c>
      <c r="B164" s="37">
        <f>IF((ROW()-3)&lt;=('首頁'!$B$8*12),C164+D164,"")</f>
      </c>
      <c r="C164" s="38">
        <f>IF((ROW()-3)&lt;=('首頁'!$B$8*12),G164*'首頁'!$B$7/12/100,"")</f>
      </c>
      <c r="D164" s="38">
        <f>IF((ROW()-3)&lt;=('首頁'!$B$8*12),IF(ROW()-3=('首頁'!$B$8*12),G164,MIN(G164,'首頁'!$B$6/('首頁'!$B$8*12))),"")</f>
      </c>
      <c r="E164" s="38">
        <f>IF((ROW()-3)&lt;=('首頁'!$B$8*12),G164-D164,"")</f>
      </c>
      <c r="G164" s="39">
        <f>IF((ROW()-3)&lt;=('首頁'!$B$8*12),E163,"")</f>
      </c>
    </row>
    <row r="165" ht="22" customHeight="1" spans="1:7" x14ac:dyDescent="0.25">
      <c r="A165" s="40">
        <f>IF((ROW()-3)&lt;=('首頁'!$B$8*12),ROW()-3,"")</f>
      </c>
      <c r="B165" s="41">
        <f>IF((ROW()-3)&lt;=('首頁'!$B$8*12),C165+D165,"")</f>
      </c>
      <c r="C165" s="42">
        <f>IF((ROW()-3)&lt;=('首頁'!$B$8*12),G165*'首頁'!$B$7/12/100,"")</f>
      </c>
      <c r="D165" s="42">
        <f>IF((ROW()-3)&lt;=('首頁'!$B$8*12),IF(ROW()-3=('首頁'!$B$8*12),G165,MIN(G165,'首頁'!$B$6/('首頁'!$B$8*12))),"")</f>
      </c>
      <c r="E165" s="42">
        <f>IF((ROW()-3)&lt;=('首頁'!$B$8*12),G165-D165,"")</f>
      </c>
      <c r="G165" s="39">
        <f>IF((ROW()-3)&lt;=('首頁'!$B$8*12),E164,"")</f>
      </c>
    </row>
    <row r="166" ht="22" customHeight="1" spans="1:7" x14ac:dyDescent="0.25">
      <c r="A166" s="36">
        <f>IF((ROW()-3)&lt;=('首頁'!$B$8*12),ROW()-3,"")</f>
      </c>
      <c r="B166" s="37">
        <f>IF((ROW()-3)&lt;=('首頁'!$B$8*12),C166+D166,"")</f>
      </c>
      <c r="C166" s="38">
        <f>IF((ROW()-3)&lt;=('首頁'!$B$8*12),G166*'首頁'!$B$7/12/100,"")</f>
      </c>
      <c r="D166" s="38">
        <f>IF((ROW()-3)&lt;=('首頁'!$B$8*12),IF(ROW()-3=('首頁'!$B$8*12),G166,MIN(G166,'首頁'!$B$6/('首頁'!$B$8*12))),"")</f>
      </c>
      <c r="E166" s="38">
        <f>IF((ROW()-3)&lt;=('首頁'!$B$8*12),G166-D166,"")</f>
      </c>
      <c r="G166" s="39">
        <f>IF((ROW()-3)&lt;=('首頁'!$B$8*12),E165,"")</f>
      </c>
    </row>
    <row r="167" ht="22" customHeight="1" spans="1:7" x14ac:dyDescent="0.25">
      <c r="A167" s="40">
        <f>IF((ROW()-3)&lt;=('首頁'!$B$8*12),ROW()-3,"")</f>
      </c>
      <c r="B167" s="41">
        <f>IF((ROW()-3)&lt;=('首頁'!$B$8*12),C167+D167,"")</f>
      </c>
      <c r="C167" s="42">
        <f>IF((ROW()-3)&lt;=('首頁'!$B$8*12),G167*'首頁'!$B$7/12/100,"")</f>
      </c>
      <c r="D167" s="42">
        <f>IF((ROW()-3)&lt;=('首頁'!$B$8*12),IF(ROW()-3=('首頁'!$B$8*12),G167,MIN(G167,'首頁'!$B$6/('首頁'!$B$8*12))),"")</f>
      </c>
      <c r="E167" s="42">
        <f>IF((ROW()-3)&lt;=('首頁'!$B$8*12),G167-D167,"")</f>
      </c>
      <c r="G167" s="39">
        <f>IF((ROW()-3)&lt;=('首頁'!$B$8*12),E166,"")</f>
      </c>
    </row>
    <row r="168" ht="22" customHeight="1" spans="1:7" x14ac:dyDescent="0.25">
      <c r="A168" s="36">
        <f>IF((ROW()-3)&lt;=('首頁'!$B$8*12),ROW()-3,"")</f>
      </c>
      <c r="B168" s="37">
        <f>IF((ROW()-3)&lt;=('首頁'!$B$8*12),C168+D168,"")</f>
      </c>
      <c r="C168" s="38">
        <f>IF((ROW()-3)&lt;=('首頁'!$B$8*12),G168*'首頁'!$B$7/12/100,"")</f>
      </c>
      <c r="D168" s="38">
        <f>IF((ROW()-3)&lt;=('首頁'!$B$8*12),IF(ROW()-3=('首頁'!$B$8*12),G168,MIN(G168,'首頁'!$B$6/('首頁'!$B$8*12))),"")</f>
      </c>
      <c r="E168" s="38">
        <f>IF((ROW()-3)&lt;=('首頁'!$B$8*12),G168-D168,"")</f>
      </c>
      <c r="G168" s="39">
        <f>IF((ROW()-3)&lt;=('首頁'!$B$8*12),E167,"")</f>
      </c>
    </row>
    <row r="169" ht="22" customHeight="1" spans="1:7" x14ac:dyDescent="0.25">
      <c r="A169" s="40">
        <f>IF((ROW()-3)&lt;=('首頁'!$B$8*12),ROW()-3,"")</f>
      </c>
      <c r="B169" s="41">
        <f>IF((ROW()-3)&lt;=('首頁'!$B$8*12),C169+D169,"")</f>
      </c>
      <c r="C169" s="42">
        <f>IF((ROW()-3)&lt;=('首頁'!$B$8*12),G169*'首頁'!$B$7/12/100,"")</f>
      </c>
      <c r="D169" s="42">
        <f>IF((ROW()-3)&lt;=('首頁'!$B$8*12),IF(ROW()-3=('首頁'!$B$8*12),G169,MIN(G169,'首頁'!$B$6/('首頁'!$B$8*12))),"")</f>
      </c>
      <c r="E169" s="42">
        <f>IF((ROW()-3)&lt;=('首頁'!$B$8*12),G169-D169,"")</f>
      </c>
      <c r="G169" s="39">
        <f>IF((ROW()-3)&lt;=('首頁'!$B$8*12),E168,"")</f>
      </c>
    </row>
    <row r="170" ht="22" customHeight="1" spans="1:7" x14ac:dyDescent="0.25">
      <c r="A170" s="36">
        <f>IF((ROW()-3)&lt;=('首頁'!$B$8*12),ROW()-3,"")</f>
      </c>
      <c r="B170" s="37">
        <f>IF((ROW()-3)&lt;=('首頁'!$B$8*12),C170+D170,"")</f>
      </c>
      <c r="C170" s="38">
        <f>IF((ROW()-3)&lt;=('首頁'!$B$8*12),G170*'首頁'!$B$7/12/100,"")</f>
      </c>
      <c r="D170" s="38">
        <f>IF((ROW()-3)&lt;=('首頁'!$B$8*12),IF(ROW()-3=('首頁'!$B$8*12),G170,MIN(G170,'首頁'!$B$6/('首頁'!$B$8*12))),"")</f>
      </c>
      <c r="E170" s="38">
        <f>IF((ROW()-3)&lt;=('首頁'!$B$8*12),G170-D170,"")</f>
      </c>
      <c r="G170" s="39">
        <f>IF((ROW()-3)&lt;=('首頁'!$B$8*12),E169,"")</f>
      </c>
    </row>
    <row r="171" ht="22" customHeight="1" spans="1:7" x14ac:dyDescent="0.25">
      <c r="A171" s="40">
        <f>IF((ROW()-3)&lt;=('首頁'!$B$8*12),ROW()-3,"")</f>
      </c>
      <c r="B171" s="41">
        <f>IF((ROW()-3)&lt;=('首頁'!$B$8*12),C171+D171,"")</f>
      </c>
      <c r="C171" s="42">
        <f>IF((ROW()-3)&lt;=('首頁'!$B$8*12),G171*'首頁'!$B$7/12/100,"")</f>
      </c>
      <c r="D171" s="42">
        <f>IF((ROW()-3)&lt;=('首頁'!$B$8*12),IF(ROW()-3=('首頁'!$B$8*12),G171,MIN(G171,'首頁'!$B$6/('首頁'!$B$8*12))),"")</f>
      </c>
      <c r="E171" s="42">
        <f>IF((ROW()-3)&lt;=('首頁'!$B$8*12),G171-D171,"")</f>
      </c>
      <c r="G171" s="39">
        <f>IF((ROW()-3)&lt;=('首頁'!$B$8*12),E170,"")</f>
      </c>
    </row>
    <row r="172" ht="22" customHeight="1" spans="1:7" x14ac:dyDescent="0.25">
      <c r="A172" s="36">
        <f>IF((ROW()-3)&lt;=('首頁'!$B$8*12),ROW()-3,"")</f>
      </c>
      <c r="B172" s="37">
        <f>IF((ROW()-3)&lt;=('首頁'!$B$8*12),C172+D172,"")</f>
      </c>
      <c r="C172" s="38">
        <f>IF((ROW()-3)&lt;=('首頁'!$B$8*12),G172*'首頁'!$B$7/12/100,"")</f>
      </c>
      <c r="D172" s="38">
        <f>IF((ROW()-3)&lt;=('首頁'!$B$8*12),IF(ROW()-3=('首頁'!$B$8*12),G172,MIN(G172,'首頁'!$B$6/('首頁'!$B$8*12))),"")</f>
      </c>
      <c r="E172" s="38">
        <f>IF((ROW()-3)&lt;=('首頁'!$B$8*12),G172-D172,"")</f>
      </c>
      <c r="G172" s="39">
        <f>IF((ROW()-3)&lt;=('首頁'!$B$8*12),E171,"")</f>
      </c>
    </row>
    <row r="173" ht="22" customHeight="1" spans="1:7" x14ac:dyDescent="0.25">
      <c r="A173" s="40">
        <f>IF((ROW()-3)&lt;=('首頁'!$B$8*12),ROW()-3,"")</f>
      </c>
      <c r="B173" s="41">
        <f>IF((ROW()-3)&lt;=('首頁'!$B$8*12),C173+D173,"")</f>
      </c>
      <c r="C173" s="42">
        <f>IF((ROW()-3)&lt;=('首頁'!$B$8*12),G173*'首頁'!$B$7/12/100,"")</f>
      </c>
      <c r="D173" s="42">
        <f>IF((ROW()-3)&lt;=('首頁'!$B$8*12),IF(ROW()-3=('首頁'!$B$8*12),G173,MIN(G173,'首頁'!$B$6/('首頁'!$B$8*12))),"")</f>
      </c>
      <c r="E173" s="42">
        <f>IF((ROW()-3)&lt;=('首頁'!$B$8*12),G173-D173,"")</f>
      </c>
      <c r="G173" s="39">
        <f>IF((ROW()-3)&lt;=('首頁'!$B$8*12),E172,"")</f>
      </c>
    </row>
    <row r="174" ht="22" customHeight="1" spans="1:7" x14ac:dyDescent="0.25">
      <c r="A174" s="36">
        <f>IF((ROW()-3)&lt;=('首頁'!$B$8*12),ROW()-3,"")</f>
      </c>
      <c r="B174" s="37">
        <f>IF((ROW()-3)&lt;=('首頁'!$B$8*12),C174+D174,"")</f>
      </c>
      <c r="C174" s="38">
        <f>IF((ROW()-3)&lt;=('首頁'!$B$8*12),G174*'首頁'!$B$7/12/100,"")</f>
      </c>
      <c r="D174" s="38">
        <f>IF((ROW()-3)&lt;=('首頁'!$B$8*12),IF(ROW()-3=('首頁'!$B$8*12),G174,MIN(G174,'首頁'!$B$6/('首頁'!$B$8*12))),"")</f>
      </c>
      <c r="E174" s="38">
        <f>IF((ROW()-3)&lt;=('首頁'!$B$8*12),G174-D174,"")</f>
      </c>
      <c r="G174" s="39">
        <f>IF((ROW()-3)&lt;=('首頁'!$B$8*12),E173,"")</f>
      </c>
    </row>
    <row r="175" ht="22" customHeight="1" spans="1:7" x14ac:dyDescent="0.25">
      <c r="A175" s="40">
        <f>IF((ROW()-3)&lt;=('首頁'!$B$8*12),ROW()-3,"")</f>
      </c>
      <c r="B175" s="41">
        <f>IF((ROW()-3)&lt;=('首頁'!$B$8*12),C175+D175,"")</f>
      </c>
      <c r="C175" s="42">
        <f>IF((ROW()-3)&lt;=('首頁'!$B$8*12),G175*'首頁'!$B$7/12/100,"")</f>
      </c>
      <c r="D175" s="42">
        <f>IF((ROW()-3)&lt;=('首頁'!$B$8*12),IF(ROW()-3=('首頁'!$B$8*12),G175,MIN(G175,'首頁'!$B$6/('首頁'!$B$8*12))),"")</f>
      </c>
      <c r="E175" s="42">
        <f>IF((ROW()-3)&lt;=('首頁'!$B$8*12),G175-D175,"")</f>
      </c>
      <c r="G175" s="39">
        <f>IF((ROW()-3)&lt;=('首頁'!$B$8*12),E174,"")</f>
      </c>
    </row>
    <row r="176" ht="22" customHeight="1" spans="1:7" x14ac:dyDescent="0.25">
      <c r="A176" s="36">
        <f>IF((ROW()-3)&lt;=('首頁'!$B$8*12),ROW()-3,"")</f>
      </c>
      <c r="B176" s="37">
        <f>IF((ROW()-3)&lt;=('首頁'!$B$8*12),C176+D176,"")</f>
      </c>
      <c r="C176" s="38">
        <f>IF((ROW()-3)&lt;=('首頁'!$B$8*12),G176*'首頁'!$B$7/12/100,"")</f>
      </c>
      <c r="D176" s="38">
        <f>IF((ROW()-3)&lt;=('首頁'!$B$8*12),IF(ROW()-3=('首頁'!$B$8*12),G176,MIN(G176,'首頁'!$B$6/('首頁'!$B$8*12))),"")</f>
      </c>
      <c r="E176" s="38">
        <f>IF((ROW()-3)&lt;=('首頁'!$B$8*12),G176-D176,"")</f>
      </c>
      <c r="G176" s="39">
        <f>IF((ROW()-3)&lt;=('首頁'!$B$8*12),E175,"")</f>
      </c>
    </row>
    <row r="177" ht="22" customHeight="1" spans="1:7" x14ac:dyDescent="0.25">
      <c r="A177" s="40">
        <f>IF((ROW()-3)&lt;=('首頁'!$B$8*12),ROW()-3,"")</f>
      </c>
      <c r="B177" s="41">
        <f>IF((ROW()-3)&lt;=('首頁'!$B$8*12),C177+D177,"")</f>
      </c>
      <c r="C177" s="42">
        <f>IF((ROW()-3)&lt;=('首頁'!$B$8*12),G177*'首頁'!$B$7/12/100,"")</f>
      </c>
      <c r="D177" s="42">
        <f>IF((ROW()-3)&lt;=('首頁'!$B$8*12),IF(ROW()-3=('首頁'!$B$8*12),G177,MIN(G177,'首頁'!$B$6/('首頁'!$B$8*12))),"")</f>
      </c>
      <c r="E177" s="42">
        <f>IF((ROW()-3)&lt;=('首頁'!$B$8*12),G177-D177,"")</f>
      </c>
      <c r="G177" s="39">
        <f>IF((ROW()-3)&lt;=('首頁'!$B$8*12),E176,"")</f>
      </c>
    </row>
    <row r="178" ht="22" customHeight="1" spans="1:7" x14ac:dyDescent="0.25">
      <c r="A178" s="36">
        <f>IF((ROW()-3)&lt;=('首頁'!$B$8*12),ROW()-3,"")</f>
      </c>
      <c r="B178" s="37">
        <f>IF((ROW()-3)&lt;=('首頁'!$B$8*12),C178+D178,"")</f>
      </c>
      <c r="C178" s="38">
        <f>IF((ROW()-3)&lt;=('首頁'!$B$8*12),G178*'首頁'!$B$7/12/100,"")</f>
      </c>
      <c r="D178" s="38">
        <f>IF((ROW()-3)&lt;=('首頁'!$B$8*12),IF(ROW()-3=('首頁'!$B$8*12),G178,MIN(G178,'首頁'!$B$6/('首頁'!$B$8*12))),"")</f>
      </c>
      <c r="E178" s="38">
        <f>IF((ROW()-3)&lt;=('首頁'!$B$8*12),G178-D178,"")</f>
      </c>
      <c r="G178" s="39">
        <f>IF((ROW()-3)&lt;=('首頁'!$B$8*12),E177,"")</f>
      </c>
    </row>
    <row r="179" ht="22" customHeight="1" spans="1:7" x14ac:dyDescent="0.25">
      <c r="A179" s="40">
        <f>IF((ROW()-3)&lt;=('首頁'!$B$8*12),ROW()-3,"")</f>
      </c>
      <c r="B179" s="41">
        <f>IF((ROW()-3)&lt;=('首頁'!$B$8*12),C179+D179,"")</f>
      </c>
      <c r="C179" s="42">
        <f>IF((ROW()-3)&lt;=('首頁'!$B$8*12),G179*'首頁'!$B$7/12/100,"")</f>
      </c>
      <c r="D179" s="42">
        <f>IF((ROW()-3)&lt;=('首頁'!$B$8*12),IF(ROW()-3=('首頁'!$B$8*12),G179,MIN(G179,'首頁'!$B$6/('首頁'!$B$8*12))),"")</f>
      </c>
      <c r="E179" s="42">
        <f>IF((ROW()-3)&lt;=('首頁'!$B$8*12),G179-D179,"")</f>
      </c>
      <c r="G179" s="39">
        <f>IF((ROW()-3)&lt;=('首頁'!$B$8*12),E178,"")</f>
      </c>
    </row>
    <row r="180" ht="22" customHeight="1" spans="1:7" x14ac:dyDescent="0.25">
      <c r="A180" s="36">
        <f>IF((ROW()-3)&lt;=('首頁'!$B$8*12),ROW()-3,"")</f>
      </c>
      <c r="B180" s="37">
        <f>IF((ROW()-3)&lt;=('首頁'!$B$8*12),C180+D180,"")</f>
      </c>
      <c r="C180" s="38">
        <f>IF((ROW()-3)&lt;=('首頁'!$B$8*12),G180*'首頁'!$B$7/12/100,"")</f>
      </c>
      <c r="D180" s="38">
        <f>IF((ROW()-3)&lt;=('首頁'!$B$8*12),IF(ROW()-3=('首頁'!$B$8*12),G180,MIN(G180,'首頁'!$B$6/('首頁'!$B$8*12))),"")</f>
      </c>
      <c r="E180" s="38">
        <f>IF((ROW()-3)&lt;=('首頁'!$B$8*12),G180-D180,"")</f>
      </c>
      <c r="G180" s="39">
        <f>IF((ROW()-3)&lt;=('首頁'!$B$8*12),E179,"")</f>
      </c>
    </row>
    <row r="181" ht="22" customHeight="1" spans="1:7" x14ac:dyDescent="0.25">
      <c r="A181" s="40">
        <f>IF((ROW()-3)&lt;=('首頁'!$B$8*12),ROW()-3,"")</f>
      </c>
      <c r="B181" s="41">
        <f>IF((ROW()-3)&lt;=('首頁'!$B$8*12),C181+D181,"")</f>
      </c>
      <c r="C181" s="42">
        <f>IF((ROW()-3)&lt;=('首頁'!$B$8*12),G181*'首頁'!$B$7/12/100,"")</f>
      </c>
      <c r="D181" s="42">
        <f>IF((ROW()-3)&lt;=('首頁'!$B$8*12),IF(ROW()-3=('首頁'!$B$8*12),G181,MIN(G181,'首頁'!$B$6/('首頁'!$B$8*12))),"")</f>
      </c>
      <c r="E181" s="42">
        <f>IF((ROW()-3)&lt;=('首頁'!$B$8*12),G181-D181,"")</f>
      </c>
      <c r="G181" s="39">
        <f>IF((ROW()-3)&lt;=('首頁'!$B$8*12),E180,"")</f>
      </c>
    </row>
    <row r="182" ht="22" customHeight="1" spans="1:7" x14ac:dyDescent="0.25">
      <c r="A182" s="36">
        <f>IF((ROW()-3)&lt;=('首頁'!$B$8*12),ROW()-3,"")</f>
      </c>
      <c r="B182" s="37">
        <f>IF((ROW()-3)&lt;=('首頁'!$B$8*12),C182+D182,"")</f>
      </c>
      <c r="C182" s="38">
        <f>IF((ROW()-3)&lt;=('首頁'!$B$8*12),G182*'首頁'!$B$7/12/100,"")</f>
      </c>
      <c r="D182" s="38">
        <f>IF((ROW()-3)&lt;=('首頁'!$B$8*12),IF(ROW()-3=('首頁'!$B$8*12),G182,MIN(G182,'首頁'!$B$6/('首頁'!$B$8*12))),"")</f>
      </c>
      <c r="E182" s="38">
        <f>IF((ROW()-3)&lt;=('首頁'!$B$8*12),G182-D182,"")</f>
      </c>
      <c r="G182" s="39">
        <f>IF((ROW()-3)&lt;=('首頁'!$B$8*12),E181,"")</f>
      </c>
    </row>
    <row r="183" ht="22" customHeight="1" spans="1:7" x14ac:dyDescent="0.25">
      <c r="A183" s="40">
        <f>IF((ROW()-3)&lt;=('首頁'!$B$8*12),ROW()-3,"")</f>
      </c>
      <c r="B183" s="41">
        <f>IF((ROW()-3)&lt;=('首頁'!$B$8*12),C183+D183,"")</f>
      </c>
      <c r="C183" s="42">
        <f>IF((ROW()-3)&lt;=('首頁'!$B$8*12),G183*'首頁'!$B$7/12/100,"")</f>
      </c>
      <c r="D183" s="42">
        <f>IF((ROW()-3)&lt;=('首頁'!$B$8*12),IF(ROW()-3=('首頁'!$B$8*12),G183,MIN(G183,'首頁'!$B$6/('首頁'!$B$8*12))),"")</f>
      </c>
      <c r="E183" s="42">
        <f>IF((ROW()-3)&lt;=('首頁'!$B$8*12),G183-D183,"")</f>
      </c>
      <c r="G183" s="39">
        <f>IF((ROW()-3)&lt;=('首頁'!$B$8*12),E182,"")</f>
      </c>
    </row>
    <row r="184" ht="22" customHeight="1" spans="1:7" x14ac:dyDescent="0.25">
      <c r="A184" s="36">
        <f>IF((ROW()-3)&lt;=('首頁'!$B$8*12),ROW()-3,"")</f>
      </c>
      <c r="B184" s="37">
        <f>IF((ROW()-3)&lt;=('首頁'!$B$8*12),C184+D184,"")</f>
      </c>
      <c r="C184" s="38">
        <f>IF((ROW()-3)&lt;=('首頁'!$B$8*12),G184*'首頁'!$B$7/12/100,"")</f>
      </c>
      <c r="D184" s="38">
        <f>IF((ROW()-3)&lt;=('首頁'!$B$8*12),IF(ROW()-3=('首頁'!$B$8*12),G184,MIN(G184,'首頁'!$B$6/('首頁'!$B$8*12))),"")</f>
      </c>
      <c r="E184" s="38">
        <f>IF((ROW()-3)&lt;=('首頁'!$B$8*12),G184-D184,"")</f>
      </c>
      <c r="G184" s="39">
        <f>IF((ROW()-3)&lt;=('首頁'!$B$8*12),E183,"")</f>
      </c>
    </row>
    <row r="185" ht="22" customHeight="1" spans="1:7" x14ac:dyDescent="0.25">
      <c r="A185" s="40">
        <f>IF((ROW()-3)&lt;=('首頁'!$B$8*12),ROW()-3,"")</f>
      </c>
      <c r="B185" s="41">
        <f>IF((ROW()-3)&lt;=('首頁'!$B$8*12),C185+D185,"")</f>
      </c>
      <c r="C185" s="42">
        <f>IF((ROW()-3)&lt;=('首頁'!$B$8*12),G185*'首頁'!$B$7/12/100,"")</f>
      </c>
      <c r="D185" s="42">
        <f>IF((ROW()-3)&lt;=('首頁'!$B$8*12),IF(ROW()-3=('首頁'!$B$8*12),G185,MIN(G185,'首頁'!$B$6/('首頁'!$B$8*12))),"")</f>
      </c>
      <c r="E185" s="42">
        <f>IF((ROW()-3)&lt;=('首頁'!$B$8*12),G185-D185,"")</f>
      </c>
      <c r="G185" s="39">
        <f>IF((ROW()-3)&lt;=('首頁'!$B$8*12),E184,"")</f>
      </c>
    </row>
    <row r="186" ht="22" customHeight="1" spans="1:7" x14ac:dyDescent="0.25">
      <c r="A186" s="36">
        <f>IF((ROW()-3)&lt;=('首頁'!$B$8*12),ROW()-3,"")</f>
      </c>
      <c r="B186" s="37">
        <f>IF((ROW()-3)&lt;=('首頁'!$B$8*12),C186+D186,"")</f>
      </c>
      <c r="C186" s="38">
        <f>IF((ROW()-3)&lt;=('首頁'!$B$8*12),G186*'首頁'!$B$7/12/100,"")</f>
      </c>
      <c r="D186" s="38">
        <f>IF((ROW()-3)&lt;=('首頁'!$B$8*12),IF(ROW()-3=('首頁'!$B$8*12),G186,MIN(G186,'首頁'!$B$6/('首頁'!$B$8*12))),"")</f>
      </c>
      <c r="E186" s="38">
        <f>IF((ROW()-3)&lt;=('首頁'!$B$8*12),G186-D186,"")</f>
      </c>
      <c r="G186" s="39">
        <f>IF((ROW()-3)&lt;=('首頁'!$B$8*12),E185,"")</f>
      </c>
    </row>
    <row r="187" ht="22" customHeight="1" spans="1:7" x14ac:dyDescent="0.25">
      <c r="A187" s="40">
        <f>IF((ROW()-3)&lt;=('首頁'!$B$8*12),ROW()-3,"")</f>
      </c>
      <c r="B187" s="41">
        <f>IF((ROW()-3)&lt;=('首頁'!$B$8*12),C187+D187,"")</f>
      </c>
      <c r="C187" s="42">
        <f>IF((ROW()-3)&lt;=('首頁'!$B$8*12),G187*'首頁'!$B$7/12/100,"")</f>
      </c>
      <c r="D187" s="42">
        <f>IF((ROW()-3)&lt;=('首頁'!$B$8*12),IF(ROW()-3=('首頁'!$B$8*12),G187,MIN(G187,'首頁'!$B$6/('首頁'!$B$8*12))),"")</f>
      </c>
      <c r="E187" s="42">
        <f>IF((ROW()-3)&lt;=('首頁'!$B$8*12),G187-D187,"")</f>
      </c>
      <c r="G187" s="39">
        <f>IF((ROW()-3)&lt;=('首頁'!$B$8*12),E186,"")</f>
      </c>
    </row>
    <row r="188" ht="22" customHeight="1" spans="1:7" x14ac:dyDescent="0.25">
      <c r="A188" s="36">
        <f>IF((ROW()-3)&lt;=('首頁'!$B$8*12),ROW()-3,"")</f>
      </c>
      <c r="B188" s="37">
        <f>IF((ROW()-3)&lt;=('首頁'!$B$8*12),C188+D188,"")</f>
      </c>
      <c r="C188" s="38">
        <f>IF((ROW()-3)&lt;=('首頁'!$B$8*12),G188*'首頁'!$B$7/12/100,"")</f>
      </c>
      <c r="D188" s="38">
        <f>IF((ROW()-3)&lt;=('首頁'!$B$8*12),IF(ROW()-3=('首頁'!$B$8*12),G188,MIN(G188,'首頁'!$B$6/('首頁'!$B$8*12))),"")</f>
      </c>
      <c r="E188" s="38">
        <f>IF((ROW()-3)&lt;=('首頁'!$B$8*12),G188-D188,"")</f>
      </c>
      <c r="G188" s="39">
        <f>IF((ROW()-3)&lt;=('首頁'!$B$8*12),E187,"")</f>
      </c>
    </row>
    <row r="189" ht="22" customHeight="1" spans="1:7" x14ac:dyDescent="0.25">
      <c r="A189" s="40">
        <f>IF((ROW()-3)&lt;=('首頁'!$B$8*12),ROW()-3,"")</f>
      </c>
      <c r="B189" s="41">
        <f>IF((ROW()-3)&lt;=('首頁'!$B$8*12),C189+D189,"")</f>
      </c>
      <c r="C189" s="42">
        <f>IF((ROW()-3)&lt;=('首頁'!$B$8*12),G189*'首頁'!$B$7/12/100,"")</f>
      </c>
      <c r="D189" s="42">
        <f>IF((ROW()-3)&lt;=('首頁'!$B$8*12),IF(ROW()-3=('首頁'!$B$8*12),G189,MIN(G189,'首頁'!$B$6/('首頁'!$B$8*12))),"")</f>
      </c>
      <c r="E189" s="42">
        <f>IF((ROW()-3)&lt;=('首頁'!$B$8*12),G189-D189,"")</f>
      </c>
      <c r="G189" s="39">
        <f>IF((ROW()-3)&lt;=('首頁'!$B$8*12),E188,"")</f>
      </c>
    </row>
    <row r="190" ht="22" customHeight="1" spans="1:7" x14ac:dyDescent="0.25">
      <c r="A190" s="36">
        <f>IF((ROW()-3)&lt;=('首頁'!$B$8*12),ROW()-3,"")</f>
      </c>
      <c r="B190" s="37">
        <f>IF((ROW()-3)&lt;=('首頁'!$B$8*12),C190+D190,"")</f>
      </c>
      <c r="C190" s="38">
        <f>IF((ROW()-3)&lt;=('首頁'!$B$8*12),G190*'首頁'!$B$7/12/100,"")</f>
      </c>
      <c r="D190" s="38">
        <f>IF((ROW()-3)&lt;=('首頁'!$B$8*12),IF(ROW()-3=('首頁'!$B$8*12),G190,MIN(G190,'首頁'!$B$6/('首頁'!$B$8*12))),"")</f>
      </c>
      <c r="E190" s="38">
        <f>IF((ROW()-3)&lt;=('首頁'!$B$8*12),G190-D190,"")</f>
      </c>
      <c r="G190" s="39">
        <f>IF((ROW()-3)&lt;=('首頁'!$B$8*12),E189,"")</f>
      </c>
    </row>
    <row r="191" ht="22" customHeight="1" spans="1:7" x14ac:dyDescent="0.25">
      <c r="A191" s="40">
        <f>IF((ROW()-3)&lt;=('首頁'!$B$8*12),ROW()-3,"")</f>
      </c>
      <c r="B191" s="41">
        <f>IF((ROW()-3)&lt;=('首頁'!$B$8*12),C191+D191,"")</f>
      </c>
      <c r="C191" s="42">
        <f>IF((ROW()-3)&lt;=('首頁'!$B$8*12),G191*'首頁'!$B$7/12/100,"")</f>
      </c>
      <c r="D191" s="42">
        <f>IF((ROW()-3)&lt;=('首頁'!$B$8*12),IF(ROW()-3=('首頁'!$B$8*12),G191,MIN(G191,'首頁'!$B$6/('首頁'!$B$8*12))),"")</f>
      </c>
      <c r="E191" s="42">
        <f>IF((ROW()-3)&lt;=('首頁'!$B$8*12),G191-D191,"")</f>
      </c>
      <c r="G191" s="39">
        <f>IF((ROW()-3)&lt;=('首頁'!$B$8*12),E190,"")</f>
      </c>
    </row>
    <row r="192" ht="22" customHeight="1" spans="1:7" x14ac:dyDescent="0.25">
      <c r="A192" s="36">
        <f>IF((ROW()-3)&lt;=('首頁'!$B$8*12),ROW()-3,"")</f>
      </c>
      <c r="B192" s="37">
        <f>IF((ROW()-3)&lt;=('首頁'!$B$8*12),C192+D192,"")</f>
      </c>
      <c r="C192" s="38">
        <f>IF((ROW()-3)&lt;=('首頁'!$B$8*12),G192*'首頁'!$B$7/12/100,"")</f>
      </c>
      <c r="D192" s="38">
        <f>IF((ROW()-3)&lt;=('首頁'!$B$8*12),IF(ROW()-3=('首頁'!$B$8*12),G192,MIN(G192,'首頁'!$B$6/('首頁'!$B$8*12))),"")</f>
      </c>
      <c r="E192" s="38">
        <f>IF((ROW()-3)&lt;=('首頁'!$B$8*12),G192-D192,"")</f>
      </c>
      <c r="G192" s="39">
        <f>IF((ROW()-3)&lt;=('首頁'!$B$8*12),E191,"")</f>
      </c>
    </row>
    <row r="193" ht="22" customHeight="1" spans="1:7" x14ac:dyDescent="0.25">
      <c r="A193" s="40">
        <f>IF((ROW()-3)&lt;=('首頁'!$B$8*12),ROW()-3,"")</f>
      </c>
      <c r="B193" s="41">
        <f>IF((ROW()-3)&lt;=('首頁'!$B$8*12),C193+D193,"")</f>
      </c>
      <c r="C193" s="42">
        <f>IF((ROW()-3)&lt;=('首頁'!$B$8*12),G193*'首頁'!$B$7/12/100,"")</f>
      </c>
      <c r="D193" s="42">
        <f>IF((ROW()-3)&lt;=('首頁'!$B$8*12),IF(ROW()-3=('首頁'!$B$8*12),G193,MIN(G193,'首頁'!$B$6/('首頁'!$B$8*12))),"")</f>
      </c>
      <c r="E193" s="42">
        <f>IF((ROW()-3)&lt;=('首頁'!$B$8*12),G193-D193,"")</f>
      </c>
      <c r="G193" s="39">
        <f>IF((ROW()-3)&lt;=('首頁'!$B$8*12),E192,"")</f>
      </c>
    </row>
    <row r="194" ht="22" customHeight="1" spans="1:7" x14ac:dyDescent="0.25">
      <c r="A194" s="36">
        <f>IF((ROW()-3)&lt;=('首頁'!$B$8*12),ROW()-3,"")</f>
      </c>
      <c r="B194" s="37">
        <f>IF((ROW()-3)&lt;=('首頁'!$B$8*12),C194+D194,"")</f>
      </c>
      <c r="C194" s="38">
        <f>IF((ROW()-3)&lt;=('首頁'!$B$8*12),G194*'首頁'!$B$7/12/100,"")</f>
      </c>
      <c r="D194" s="38">
        <f>IF((ROW()-3)&lt;=('首頁'!$B$8*12),IF(ROW()-3=('首頁'!$B$8*12),G194,MIN(G194,'首頁'!$B$6/('首頁'!$B$8*12))),"")</f>
      </c>
      <c r="E194" s="38">
        <f>IF((ROW()-3)&lt;=('首頁'!$B$8*12),G194-D194,"")</f>
      </c>
      <c r="G194" s="39">
        <f>IF((ROW()-3)&lt;=('首頁'!$B$8*12),E193,"")</f>
      </c>
    </row>
    <row r="195" ht="22" customHeight="1" spans="1:7" x14ac:dyDescent="0.25">
      <c r="A195" s="40">
        <f>IF((ROW()-3)&lt;=('首頁'!$B$8*12),ROW()-3,"")</f>
      </c>
      <c r="B195" s="41">
        <f>IF((ROW()-3)&lt;=('首頁'!$B$8*12),C195+D195,"")</f>
      </c>
      <c r="C195" s="42">
        <f>IF((ROW()-3)&lt;=('首頁'!$B$8*12),G195*'首頁'!$B$7/12/100,"")</f>
      </c>
      <c r="D195" s="42">
        <f>IF((ROW()-3)&lt;=('首頁'!$B$8*12),IF(ROW()-3=('首頁'!$B$8*12),G195,MIN(G195,'首頁'!$B$6/('首頁'!$B$8*12))),"")</f>
      </c>
      <c r="E195" s="42">
        <f>IF((ROW()-3)&lt;=('首頁'!$B$8*12),G195-D195,"")</f>
      </c>
      <c r="G195" s="39">
        <f>IF((ROW()-3)&lt;=('首頁'!$B$8*12),E194,"")</f>
      </c>
    </row>
    <row r="196" ht="22" customHeight="1" spans="1:7" x14ac:dyDescent="0.25">
      <c r="A196" s="36">
        <f>IF((ROW()-3)&lt;=('首頁'!$B$8*12),ROW()-3,"")</f>
      </c>
      <c r="B196" s="37">
        <f>IF((ROW()-3)&lt;=('首頁'!$B$8*12),C196+D196,"")</f>
      </c>
      <c r="C196" s="38">
        <f>IF((ROW()-3)&lt;=('首頁'!$B$8*12),G196*'首頁'!$B$7/12/100,"")</f>
      </c>
      <c r="D196" s="38">
        <f>IF((ROW()-3)&lt;=('首頁'!$B$8*12),IF(ROW()-3=('首頁'!$B$8*12),G196,MIN(G196,'首頁'!$B$6/('首頁'!$B$8*12))),"")</f>
      </c>
      <c r="E196" s="38">
        <f>IF((ROW()-3)&lt;=('首頁'!$B$8*12),G196-D196,"")</f>
      </c>
      <c r="G196" s="39">
        <f>IF((ROW()-3)&lt;=('首頁'!$B$8*12),E195,"")</f>
      </c>
    </row>
    <row r="197" ht="22" customHeight="1" spans="1:7" x14ac:dyDescent="0.25">
      <c r="A197" s="40">
        <f>IF((ROW()-3)&lt;=('首頁'!$B$8*12),ROW()-3,"")</f>
      </c>
      <c r="B197" s="41">
        <f>IF((ROW()-3)&lt;=('首頁'!$B$8*12),C197+D197,"")</f>
      </c>
      <c r="C197" s="42">
        <f>IF((ROW()-3)&lt;=('首頁'!$B$8*12),G197*'首頁'!$B$7/12/100,"")</f>
      </c>
      <c r="D197" s="42">
        <f>IF((ROW()-3)&lt;=('首頁'!$B$8*12),IF(ROW()-3=('首頁'!$B$8*12),G197,MIN(G197,'首頁'!$B$6/('首頁'!$B$8*12))),"")</f>
      </c>
      <c r="E197" s="42">
        <f>IF((ROW()-3)&lt;=('首頁'!$B$8*12),G197-D197,"")</f>
      </c>
      <c r="G197" s="39">
        <f>IF((ROW()-3)&lt;=('首頁'!$B$8*12),E196,"")</f>
      </c>
    </row>
    <row r="198" ht="22" customHeight="1" spans="1:7" x14ac:dyDescent="0.25">
      <c r="A198" s="36">
        <f>IF((ROW()-3)&lt;=('首頁'!$B$8*12),ROW()-3,"")</f>
      </c>
      <c r="B198" s="37">
        <f>IF((ROW()-3)&lt;=('首頁'!$B$8*12),C198+D198,"")</f>
      </c>
      <c r="C198" s="38">
        <f>IF((ROW()-3)&lt;=('首頁'!$B$8*12),G198*'首頁'!$B$7/12/100,"")</f>
      </c>
      <c r="D198" s="38">
        <f>IF((ROW()-3)&lt;=('首頁'!$B$8*12),IF(ROW()-3=('首頁'!$B$8*12),G198,MIN(G198,'首頁'!$B$6/('首頁'!$B$8*12))),"")</f>
      </c>
      <c r="E198" s="38">
        <f>IF((ROW()-3)&lt;=('首頁'!$B$8*12),G198-D198,"")</f>
      </c>
      <c r="G198" s="39">
        <f>IF((ROW()-3)&lt;=('首頁'!$B$8*12),E197,"")</f>
      </c>
    </row>
    <row r="199" ht="22" customHeight="1" spans="1:7" x14ac:dyDescent="0.25">
      <c r="A199" s="40">
        <f>IF((ROW()-3)&lt;=('首頁'!$B$8*12),ROW()-3,"")</f>
      </c>
      <c r="B199" s="41">
        <f>IF((ROW()-3)&lt;=('首頁'!$B$8*12),C199+D199,"")</f>
      </c>
      <c r="C199" s="42">
        <f>IF((ROW()-3)&lt;=('首頁'!$B$8*12),G199*'首頁'!$B$7/12/100,"")</f>
      </c>
      <c r="D199" s="42">
        <f>IF((ROW()-3)&lt;=('首頁'!$B$8*12),IF(ROW()-3=('首頁'!$B$8*12),G199,MIN(G199,'首頁'!$B$6/('首頁'!$B$8*12))),"")</f>
      </c>
      <c r="E199" s="42">
        <f>IF((ROW()-3)&lt;=('首頁'!$B$8*12),G199-D199,"")</f>
      </c>
      <c r="G199" s="39">
        <f>IF((ROW()-3)&lt;=('首頁'!$B$8*12),E198,"")</f>
      </c>
    </row>
    <row r="200" ht="22" customHeight="1" spans="1:7" x14ac:dyDescent="0.25">
      <c r="A200" s="36">
        <f>IF((ROW()-3)&lt;=('首頁'!$B$8*12),ROW()-3,"")</f>
      </c>
      <c r="B200" s="37">
        <f>IF((ROW()-3)&lt;=('首頁'!$B$8*12),C200+D200,"")</f>
      </c>
      <c r="C200" s="38">
        <f>IF((ROW()-3)&lt;=('首頁'!$B$8*12),G200*'首頁'!$B$7/12/100,"")</f>
      </c>
      <c r="D200" s="38">
        <f>IF((ROW()-3)&lt;=('首頁'!$B$8*12),IF(ROW()-3=('首頁'!$B$8*12),G200,MIN(G200,'首頁'!$B$6/('首頁'!$B$8*12))),"")</f>
      </c>
      <c r="E200" s="38">
        <f>IF((ROW()-3)&lt;=('首頁'!$B$8*12),G200-D200,"")</f>
      </c>
      <c r="G200" s="39">
        <f>IF((ROW()-3)&lt;=('首頁'!$B$8*12),E199,"")</f>
      </c>
    </row>
    <row r="201" ht="22" customHeight="1" spans="1:7" x14ac:dyDescent="0.25">
      <c r="A201" s="40">
        <f>IF((ROW()-3)&lt;=('首頁'!$B$8*12),ROW()-3,"")</f>
      </c>
      <c r="B201" s="41">
        <f>IF((ROW()-3)&lt;=('首頁'!$B$8*12),C201+D201,"")</f>
      </c>
      <c r="C201" s="42">
        <f>IF((ROW()-3)&lt;=('首頁'!$B$8*12),G201*'首頁'!$B$7/12/100,"")</f>
      </c>
      <c r="D201" s="42">
        <f>IF((ROW()-3)&lt;=('首頁'!$B$8*12),IF(ROW()-3=('首頁'!$B$8*12),G201,MIN(G201,'首頁'!$B$6/('首頁'!$B$8*12))),"")</f>
      </c>
      <c r="E201" s="42">
        <f>IF((ROW()-3)&lt;=('首頁'!$B$8*12),G201-D201,"")</f>
      </c>
      <c r="G201" s="39">
        <f>IF((ROW()-3)&lt;=('首頁'!$B$8*12),E200,"")</f>
      </c>
    </row>
    <row r="202" ht="22" customHeight="1" spans="1:7" x14ac:dyDescent="0.25">
      <c r="A202" s="36">
        <f>IF((ROW()-3)&lt;=('首頁'!$B$8*12),ROW()-3,"")</f>
      </c>
      <c r="B202" s="37">
        <f>IF((ROW()-3)&lt;=('首頁'!$B$8*12),C202+D202,"")</f>
      </c>
      <c r="C202" s="38">
        <f>IF((ROW()-3)&lt;=('首頁'!$B$8*12),G202*'首頁'!$B$7/12/100,"")</f>
      </c>
      <c r="D202" s="38">
        <f>IF((ROW()-3)&lt;=('首頁'!$B$8*12),IF(ROW()-3=('首頁'!$B$8*12),G202,MIN(G202,'首頁'!$B$6/('首頁'!$B$8*12))),"")</f>
      </c>
      <c r="E202" s="38">
        <f>IF((ROW()-3)&lt;=('首頁'!$B$8*12),G202-D202,"")</f>
      </c>
      <c r="G202" s="39">
        <f>IF((ROW()-3)&lt;=('首頁'!$B$8*12),E201,"")</f>
      </c>
    </row>
    <row r="203" ht="22" customHeight="1" spans="1:7" x14ac:dyDescent="0.25">
      <c r="A203" s="40">
        <f>IF((ROW()-3)&lt;=('首頁'!$B$8*12),ROW()-3,"")</f>
      </c>
      <c r="B203" s="41">
        <f>IF((ROW()-3)&lt;=('首頁'!$B$8*12),C203+D203,"")</f>
      </c>
      <c r="C203" s="42">
        <f>IF((ROW()-3)&lt;=('首頁'!$B$8*12),G203*'首頁'!$B$7/12/100,"")</f>
      </c>
      <c r="D203" s="42">
        <f>IF((ROW()-3)&lt;=('首頁'!$B$8*12),IF(ROW()-3=('首頁'!$B$8*12),G203,MIN(G203,'首頁'!$B$6/('首頁'!$B$8*12))),"")</f>
      </c>
      <c r="E203" s="42">
        <f>IF((ROW()-3)&lt;=('首頁'!$B$8*12),G203-D203,"")</f>
      </c>
      <c r="G203" s="39">
        <f>IF((ROW()-3)&lt;=('首頁'!$B$8*12),E202,"")</f>
      </c>
    </row>
    <row r="204" ht="22" customHeight="1" spans="1:7" x14ac:dyDescent="0.25">
      <c r="A204" s="36">
        <f>IF((ROW()-3)&lt;=('首頁'!$B$8*12),ROW()-3,"")</f>
      </c>
      <c r="B204" s="37">
        <f>IF((ROW()-3)&lt;=('首頁'!$B$8*12),C204+D204,"")</f>
      </c>
      <c r="C204" s="38">
        <f>IF((ROW()-3)&lt;=('首頁'!$B$8*12),G204*'首頁'!$B$7/12/100,"")</f>
      </c>
      <c r="D204" s="38">
        <f>IF((ROW()-3)&lt;=('首頁'!$B$8*12),IF(ROW()-3=('首頁'!$B$8*12),G204,MIN(G204,'首頁'!$B$6/('首頁'!$B$8*12))),"")</f>
      </c>
      <c r="E204" s="38">
        <f>IF((ROW()-3)&lt;=('首頁'!$B$8*12),G204-D204,"")</f>
      </c>
      <c r="G204" s="39">
        <f>IF((ROW()-3)&lt;=('首頁'!$B$8*12),E203,"")</f>
      </c>
    </row>
    <row r="205" ht="22" customHeight="1" spans="1:7" x14ac:dyDescent="0.25">
      <c r="A205" s="40">
        <f>IF((ROW()-3)&lt;=('首頁'!$B$8*12),ROW()-3,"")</f>
      </c>
      <c r="B205" s="41">
        <f>IF((ROW()-3)&lt;=('首頁'!$B$8*12),C205+D205,"")</f>
      </c>
      <c r="C205" s="42">
        <f>IF((ROW()-3)&lt;=('首頁'!$B$8*12),G205*'首頁'!$B$7/12/100,"")</f>
      </c>
      <c r="D205" s="42">
        <f>IF((ROW()-3)&lt;=('首頁'!$B$8*12),IF(ROW()-3=('首頁'!$B$8*12),G205,MIN(G205,'首頁'!$B$6/('首頁'!$B$8*12))),"")</f>
      </c>
      <c r="E205" s="42">
        <f>IF((ROW()-3)&lt;=('首頁'!$B$8*12),G205-D205,"")</f>
      </c>
      <c r="G205" s="39">
        <f>IF((ROW()-3)&lt;=('首頁'!$B$8*12),E204,"")</f>
      </c>
    </row>
    <row r="206" ht="22" customHeight="1" spans="1:7" x14ac:dyDescent="0.25">
      <c r="A206" s="36">
        <f>IF((ROW()-3)&lt;=('首頁'!$B$8*12),ROW()-3,"")</f>
      </c>
      <c r="B206" s="37">
        <f>IF((ROW()-3)&lt;=('首頁'!$B$8*12),C206+D206,"")</f>
      </c>
      <c r="C206" s="38">
        <f>IF((ROW()-3)&lt;=('首頁'!$B$8*12),G206*'首頁'!$B$7/12/100,"")</f>
      </c>
      <c r="D206" s="38">
        <f>IF((ROW()-3)&lt;=('首頁'!$B$8*12),IF(ROW()-3=('首頁'!$B$8*12),G206,MIN(G206,'首頁'!$B$6/('首頁'!$B$8*12))),"")</f>
      </c>
      <c r="E206" s="38">
        <f>IF((ROW()-3)&lt;=('首頁'!$B$8*12),G206-D206,"")</f>
      </c>
      <c r="G206" s="39">
        <f>IF((ROW()-3)&lt;=('首頁'!$B$8*12),E205,"")</f>
      </c>
    </row>
    <row r="207" ht="22" customHeight="1" spans="1:7" x14ac:dyDescent="0.25">
      <c r="A207" s="40">
        <f>IF((ROW()-3)&lt;=('首頁'!$B$8*12),ROW()-3,"")</f>
      </c>
      <c r="B207" s="41">
        <f>IF((ROW()-3)&lt;=('首頁'!$B$8*12),C207+D207,"")</f>
      </c>
      <c r="C207" s="42">
        <f>IF((ROW()-3)&lt;=('首頁'!$B$8*12),G207*'首頁'!$B$7/12/100,"")</f>
      </c>
      <c r="D207" s="42">
        <f>IF((ROW()-3)&lt;=('首頁'!$B$8*12),IF(ROW()-3=('首頁'!$B$8*12),G207,MIN(G207,'首頁'!$B$6/('首頁'!$B$8*12))),"")</f>
      </c>
      <c r="E207" s="42">
        <f>IF((ROW()-3)&lt;=('首頁'!$B$8*12),G207-D207,"")</f>
      </c>
      <c r="G207" s="39">
        <f>IF((ROW()-3)&lt;=('首頁'!$B$8*12),E206,"")</f>
      </c>
    </row>
    <row r="208" ht="22" customHeight="1" spans="1:7" x14ac:dyDescent="0.25">
      <c r="A208" s="36">
        <f>IF((ROW()-3)&lt;=('首頁'!$B$8*12),ROW()-3,"")</f>
      </c>
      <c r="B208" s="37">
        <f>IF((ROW()-3)&lt;=('首頁'!$B$8*12),C208+D208,"")</f>
      </c>
      <c r="C208" s="38">
        <f>IF((ROW()-3)&lt;=('首頁'!$B$8*12),G208*'首頁'!$B$7/12/100,"")</f>
      </c>
      <c r="D208" s="38">
        <f>IF((ROW()-3)&lt;=('首頁'!$B$8*12),IF(ROW()-3=('首頁'!$B$8*12),G208,MIN(G208,'首頁'!$B$6/('首頁'!$B$8*12))),"")</f>
      </c>
      <c r="E208" s="38">
        <f>IF((ROW()-3)&lt;=('首頁'!$B$8*12),G208-D208,"")</f>
      </c>
      <c r="G208" s="39">
        <f>IF((ROW()-3)&lt;=('首頁'!$B$8*12),E207,"")</f>
      </c>
    </row>
    <row r="209" ht="22" customHeight="1" spans="1:7" x14ac:dyDescent="0.25">
      <c r="A209" s="40">
        <f>IF((ROW()-3)&lt;=('首頁'!$B$8*12),ROW()-3,"")</f>
      </c>
      <c r="B209" s="41">
        <f>IF((ROW()-3)&lt;=('首頁'!$B$8*12),C209+D209,"")</f>
      </c>
      <c r="C209" s="42">
        <f>IF((ROW()-3)&lt;=('首頁'!$B$8*12),G209*'首頁'!$B$7/12/100,"")</f>
      </c>
      <c r="D209" s="42">
        <f>IF((ROW()-3)&lt;=('首頁'!$B$8*12),IF(ROW()-3=('首頁'!$B$8*12),G209,MIN(G209,'首頁'!$B$6/('首頁'!$B$8*12))),"")</f>
      </c>
      <c r="E209" s="42">
        <f>IF((ROW()-3)&lt;=('首頁'!$B$8*12),G209-D209,"")</f>
      </c>
      <c r="G209" s="39">
        <f>IF((ROW()-3)&lt;=('首頁'!$B$8*12),E208,"")</f>
      </c>
    </row>
    <row r="210" ht="22" customHeight="1" spans="1:7" x14ac:dyDescent="0.25">
      <c r="A210" s="36">
        <f>IF((ROW()-3)&lt;=('首頁'!$B$8*12),ROW()-3,"")</f>
      </c>
      <c r="B210" s="37">
        <f>IF((ROW()-3)&lt;=('首頁'!$B$8*12),C210+D210,"")</f>
      </c>
      <c r="C210" s="38">
        <f>IF((ROW()-3)&lt;=('首頁'!$B$8*12),G210*'首頁'!$B$7/12/100,"")</f>
      </c>
      <c r="D210" s="38">
        <f>IF((ROW()-3)&lt;=('首頁'!$B$8*12),IF(ROW()-3=('首頁'!$B$8*12),G210,MIN(G210,'首頁'!$B$6/('首頁'!$B$8*12))),"")</f>
      </c>
      <c r="E210" s="38">
        <f>IF((ROW()-3)&lt;=('首頁'!$B$8*12),G210-D210,"")</f>
      </c>
      <c r="G210" s="39">
        <f>IF((ROW()-3)&lt;=('首頁'!$B$8*12),E209,"")</f>
      </c>
    </row>
    <row r="211" ht="22" customHeight="1" spans="1:7" x14ac:dyDescent="0.25">
      <c r="A211" s="40">
        <f>IF((ROW()-3)&lt;=('首頁'!$B$8*12),ROW()-3,"")</f>
      </c>
      <c r="B211" s="41">
        <f>IF((ROW()-3)&lt;=('首頁'!$B$8*12),C211+D211,"")</f>
      </c>
      <c r="C211" s="42">
        <f>IF((ROW()-3)&lt;=('首頁'!$B$8*12),G211*'首頁'!$B$7/12/100,"")</f>
      </c>
      <c r="D211" s="42">
        <f>IF((ROW()-3)&lt;=('首頁'!$B$8*12),IF(ROW()-3=('首頁'!$B$8*12),G211,MIN(G211,'首頁'!$B$6/('首頁'!$B$8*12))),"")</f>
      </c>
      <c r="E211" s="42">
        <f>IF((ROW()-3)&lt;=('首頁'!$B$8*12),G211-D211,"")</f>
      </c>
      <c r="G211" s="39">
        <f>IF((ROW()-3)&lt;=('首頁'!$B$8*12),E210,"")</f>
      </c>
    </row>
    <row r="212" ht="22" customHeight="1" spans="1:7" x14ac:dyDescent="0.25">
      <c r="A212" s="36">
        <f>IF((ROW()-3)&lt;=('首頁'!$B$8*12),ROW()-3,"")</f>
      </c>
      <c r="B212" s="37">
        <f>IF((ROW()-3)&lt;=('首頁'!$B$8*12),C212+D212,"")</f>
      </c>
      <c r="C212" s="38">
        <f>IF((ROW()-3)&lt;=('首頁'!$B$8*12),G212*'首頁'!$B$7/12/100,"")</f>
      </c>
      <c r="D212" s="38">
        <f>IF((ROW()-3)&lt;=('首頁'!$B$8*12),IF(ROW()-3=('首頁'!$B$8*12),G212,MIN(G212,'首頁'!$B$6/('首頁'!$B$8*12))),"")</f>
      </c>
      <c r="E212" s="38">
        <f>IF((ROW()-3)&lt;=('首頁'!$B$8*12),G212-D212,"")</f>
      </c>
      <c r="G212" s="39">
        <f>IF((ROW()-3)&lt;=('首頁'!$B$8*12),E211,"")</f>
      </c>
    </row>
    <row r="213" ht="22" customHeight="1" spans="1:7" x14ac:dyDescent="0.25">
      <c r="A213" s="40">
        <f>IF((ROW()-3)&lt;=('首頁'!$B$8*12),ROW()-3,"")</f>
      </c>
      <c r="B213" s="41">
        <f>IF((ROW()-3)&lt;=('首頁'!$B$8*12),C213+D213,"")</f>
      </c>
      <c r="C213" s="42">
        <f>IF((ROW()-3)&lt;=('首頁'!$B$8*12),G213*'首頁'!$B$7/12/100,"")</f>
      </c>
      <c r="D213" s="42">
        <f>IF((ROW()-3)&lt;=('首頁'!$B$8*12),IF(ROW()-3=('首頁'!$B$8*12),G213,MIN(G213,'首頁'!$B$6/('首頁'!$B$8*12))),"")</f>
      </c>
      <c r="E213" s="42">
        <f>IF((ROW()-3)&lt;=('首頁'!$B$8*12),G213-D213,"")</f>
      </c>
      <c r="G213" s="39">
        <f>IF((ROW()-3)&lt;=('首頁'!$B$8*12),E212,"")</f>
      </c>
    </row>
    <row r="214" ht="22" customHeight="1" spans="1:7" x14ac:dyDescent="0.25">
      <c r="A214" s="36">
        <f>IF((ROW()-3)&lt;=('首頁'!$B$8*12),ROW()-3,"")</f>
      </c>
      <c r="B214" s="37">
        <f>IF((ROW()-3)&lt;=('首頁'!$B$8*12),C214+D214,"")</f>
      </c>
      <c r="C214" s="38">
        <f>IF((ROW()-3)&lt;=('首頁'!$B$8*12),G214*'首頁'!$B$7/12/100,"")</f>
      </c>
      <c r="D214" s="38">
        <f>IF((ROW()-3)&lt;=('首頁'!$B$8*12),IF(ROW()-3=('首頁'!$B$8*12),G214,MIN(G214,'首頁'!$B$6/('首頁'!$B$8*12))),"")</f>
      </c>
      <c r="E214" s="38">
        <f>IF((ROW()-3)&lt;=('首頁'!$B$8*12),G214-D214,"")</f>
      </c>
      <c r="G214" s="39">
        <f>IF((ROW()-3)&lt;=('首頁'!$B$8*12),E213,"")</f>
      </c>
    </row>
    <row r="215" ht="22" customHeight="1" spans="1:7" x14ac:dyDescent="0.25">
      <c r="A215" s="40">
        <f>IF((ROW()-3)&lt;=('首頁'!$B$8*12),ROW()-3,"")</f>
      </c>
      <c r="B215" s="41">
        <f>IF((ROW()-3)&lt;=('首頁'!$B$8*12),C215+D215,"")</f>
      </c>
      <c r="C215" s="42">
        <f>IF((ROW()-3)&lt;=('首頁'!$B$8*12),G215*'首頁'!$B$7/12/100,"")</f>
      </c>
      <c r="D215" s="42">
        <f>IF((ROW()-3)&lt;=('首頁'!$B$8*12),IF(ROW()-3=('首頁'!$B$8*12),G215,MIN(G215,'首頁'!$B$6/('首頁'!$B$8*12))),"")</f>
      </c>
      <c r="E215" s="42">
        <f>IF((ROW()-3)&lt;=('首頁'!$B$8*12),G215-D215,"")</f>
      </c>
      <c r="G215" s="39">
        <f>IF((ROW()-3)&lt;=('首頁'!$B$8*12),E214,"")</f>
      </c>
    </row>
    <row r="216" ht="22" customHeight="1" spans="1:7" x14ac:dyDescent="0.25">
      <c r="A216" s="36">
        <f>IF((ROW()-3)&lt;=('首頁'!$B$8*12),ROW()-3,"")</f>
      </c>
      <c r="B216" s="37">
        <f>IF((ROW()-3)&lt;=('首頁'!$B$8*12),C216+D216,"")</f>
      </c>
      <c r="C216" s="38">
        <f>IF((ROW()-3)&lt;=('首頁'!$B$8*12),G216*'首頁'!$B$7/12/100,"")</f>
      </c>
      <c r="D216" s="38">
        <f>IF((ROW()-3)&lt;=('首頁'!$B$8*12),IF(ROW()-3=('首頁'!$B$8*12),G216,MIN(G216,'首頁'!$B$6/('首頁'!$B$8*12))),"")</f>
      </c>
      <c r="E216" s="38">
        <f>IF((ROW()-3)&lt;=('首頁'!$B$8*12),G216-D216,"")</f>
      </c>
      <c r="G216" s="39">
        <f>IF((ROW()-3)&lt;=('首頁'!$B$8*12),E215,"")</f>
      </c>
    </row>
    <row r="217" ht="22" customHeight="1" spans="1:7" x14ac:dyDescent="0.25">
      <c r="A217" s="40">
        <f>IF((ROW()-3)&lt;=('首頁'!$B$8*12),ROW()-3,"")</f>
      </c>
      <c r="B217" s="41">
        <f>IF((ROW()-3)&lt;=('首頁'!$B$8*12),C217+D217,"")</f>
      </c>
      <c r="C217" s="42">
        <f>IF((ROW()-3)&lt;=('首頁'!$B$8*12),G217*'首頁'!$B$7/12/100,"")</f>
      </c>
      <c r="D217" s="42">
        <f>IF((ROW()-3)&lt;=('首頁'!$B$8*12),IF(ROW()-3=('首頁'!$B$8*12),G217,MIN(G217,'首頁'!$B$6/('首頁'!$B$8*12))),"")</f>
      </c>
      <c r="E217" s="42">
        <f>IF((ROW()-3)&lt;=('首頁'!$B$8*12),G217-D217,"")</f>
      </c>
      <c r="G217" s="39">
        <f>IF((ROW()-3)&lt;=('首頁'!$B$8*12),E216,"")</f>
      </c>
    </row>
    <row r="218" ht="22" customHeight="1" spans="1:7" x14ac:dyDescent="0.25">
      <c r="A218" s="36">
        <f>IF((ROW()-3)&lt;=('首頁'!$B$8*12),ROW()-3,"")</f>
      </c>
      <c r="B218" s="37">
        <f>IF((ROW()-3)&lt;=('首頁'!$B$8*12),C218+D218,"")</f>
      </c>
      <c r="C218" s="38">
        <f>IF((ROW()-3)&lt;=('首頁'!$B$8*12),G218*'首頁'!$B$7/12/100,"")</f>
      </c>
      <c r="D218" s="38">
        <f>IF((ROW()-3)&lt;=('首頁'!$B$8*12),IF(ROW()-3=('首頁'!$B$8*12),G218,MIN(G218,'首頁'!$B$6/('首頁'!$B$8*12))),"")</f>
      </c>
      <c r="E218" s="38">
        <f>IF((ROW()-3)&lt;=('首頁'!$B$8*12),G218-D218,"")</f>
      </c>
      <c r="G218" s="39">
        <f>IF((ROW()-3)&lt;=('首頁'!$B$8*12),E217,"")</f>
      </c>
    </row>
    <row r="219" ht="22" customHeight="1" spans="1:7" x14ac:dyDescent="0.25">
      <c r="A219" s="40">
        <f>IF((ROW()-3)&lt;=('首頁'!$B$8*12),ROW()-3,"")</f>
      </c>
      <c r="B219" s="41">
        <f>IF((ROW()-3)&lt;=('首頁'!$B$8*12),C219+D219,"")</f>
      </c>
      <c r="C219" s="42">
        <f>IF((ROW()-3)&lt;=('首頁'!$B$8*12),G219*'首頁'!$B$7/12/100,"")</f>
      </c>
      <c r="D219" s="42">
        <f>IF((ROW()-3)&lt;=('首頁'!$B$8*12),IF(ROW()-3=('首頁'!$B$8*12),G219,MIN(G219,'首頁'!$B$6/('首頁'!$B$8*12))),"")</f>
      </c>
      <c r="E219" s="42">
        <f>IF((ROW()-3)&lt;=('首頁'!$B$8*12),G219-D219,"")</f>
      </c>
      <c r="G219" s="39">
        <f>IF((ROW()-3)&lt;=('首頁'!$B$8*12),E218,"")</f>
      </c>
    </row>
    <row r="220" ht="22" customHeight="1" spans="1:7" x14ac:dyDescent="0.25">
      <c r="A220" s="36">
        <f>IF((ROW()-3)&lt;=('首頁'!$B$8*12),ROW()-3,"")</f>
      </c>
      <c r="B220" s="37">
        <f>IF((ROW()-3)&lt;=('首頁'!$B$8*12),C220+D220,"")</f>
      </c>
      <c r="C220" s="38">
        <f>IF((ROW()-3)&lt;=('首頁'!$B$8*12),G220*'首頁'!$B$7/12/100,"")</f>
      </c>
      <c r="D220" s="38">
        <f>IF((ROW()-3)&lt;=('首頁'!$B$8*12),IF(ROW()-3=('首頁'!$B$8*12),G220,MIN(G220,'首頁'!$B$6/('首頁'!$B$8*12))),"")</f>
      </c>
      <c r="E220" s="38">
        <f>IF((ROW()-3)&lt;=('首頁'!$B$8*12),G220-D220,"")</f>
      </c>
      <c r="G220" s="39">
        <f>IF((ROW()-3)&lt;=('首頁'!$B$8*12),E219,"")</f>
      </c>
    </row>
    <row r="221" ht="22" customHeight="1" spans="1:7" x14ac:dyDescent="0.25">
      <c r="A221" s="40">
        <f>IF((ROW()-3)&lt;=('首頁'!$B$8*12),ROW()-3,"")</f>
      </c>
      <c r="B221" s="41">
        <f>IF((ROW()-3)&lt;=('首頁'!$B$8*12),C221+D221,"")</f>
      </c>
      <c r="C221" s="42">
        <f>IF((ROW()-3)&lt;=('首頁'!$B$8*12),G221*'首頁'!$B$7/12/100,"")</f>
      </c>
      <c r="D221" s="42">
        <f>IF((ROW()-3)&lt;=('首頁'!$B$8*12),IF(ROW()-3=('首頁'!$B$8*12),G221,MIN(G221,'首頁'!$B$6/('首頁'!$B$8*12))),"")</f>
      </c>
      <c r="E221" s="42">
        <f>IF((ROW()-3)&lt;=('首頁'!$B$8*12),G221-D221,"")</f>
      </c>
      <c r="G221" s="39">
        <f>IF((ROW()-3)&lt;=('首頁'!$B$8*12),E220,"")</f>
      </c>
    </row>
    <row r="222" ht="22" customHeight="1" spans="1:7" x14ac:dyDescent="0.25">
      <c r="A222" s="36">
        <f>IF((ROW()-3)&lt;=('首頁'!$B$8*12),ROW()-3,"")</f>
      </c>
      <c r="B222" s="37">
        <f>IF((ROW()-3)&lt;=('首頁'!$B$8*12),C222+D222,"")</f>
      </c>
      <c r="C222" s="38">
        <f>IF((ROW()-3)&lt;=('首頁'!$B$8*12),G222*'首頁'!$B$7/12/100,"")</f>
      </c>
      <c r="D222" s="38">
        <f>IF((ROW()-3)&lt;=('首頁'!$B$8*12),IF(ROW()-3=('首頁'!$B$8*12),G222,MIN(G222,'首頁'!$B$6/('首頁'!$B$8*12))),"")</f>
      </c>
      <c r="E222" s="38">
        <f>IF((ROW()-3)&lt;=('首頁'!$B$8*12),G222-D222,"")</f>
      </c>
      <c r="G222" s="39">
        <f>IF((ROW()-3)&lt;=('首頁'!$B$8*12),E221,"")</f>
      </c>
    </row>
    <row r="223" ht="22" customHeight="1" spans="1:7" x14ac:dyDescent="0.25">
      <c r="A223" s="40">
        <f>IF((ROW()-3)&lt;=('首頁'!$B$8*12),ROW()-3,"")</f>
      </c>
      <c r="B223" s="41">
        <f>IF((ROW()-3)&lt;=('首頁'!$B$8*12),C223+D223,"")</f>
      </c>
      <c r="C223" s="42">
        <f>IF((ROW()-3)&lt;=('首頁'!$B$8*12),G223*'首頁'!$B$7/12/100,"")</f>
      </c>
      <c r="D223" s="42">
        <f>IF((ROW()-3)&lt;=('首頁'!$B$8*12),IF(ROW()-3=('首頁'!$B$8*12),G223,MIN(G223,'首頁'!$B$6/('首頁'!$B$8*12))),"")</f>
      </c>
      <c r="E223" s="42">
        <f>IF((ROW()-3)&lt;=('首頁'!$B$8*12),G223-D223,"")</f>
      </c>
      <c r="G223" s="39">
        <f>IF((ROW()-3)&lt;=('首頁'!$B$8*12),E222,"")</f>
      </c>
    </row>
    <row r="224" ht="22" customHeight="1" spans="1:7" x14ac:dyDescent="0.25">
      <c r="A224" s="36">
        <f>IF((ROW()-3)&lt;=('首頁'!$B$8*12),ROW()-3,"")</f>
      </c>
      <c r="B224" s="37">
        <f>IF((ROW()-3)&lt;=('首頁'!$B$8*12),C224+D224,"")</f>
      </c>
      <c r="C224" s="38">
        <f>IF((ROW()-3)&lt;=('首頁'!$B$8*12),G224*'首頁'!$B$7/12/100,"")</f>
      </c>
      <c r="D224" s="38">
        <f>IF((ROW()-3)&lt;=('首頁'!$B$8*12),IF(ROW()-3=('首頁'!$B$8*12),G224,MIN(G224,'首頁'!$B$6/('首頁'!$B$8*12))),"")</f>
      </c>
      <c r="E224" s="38">
        <f>IF((ROW()-3)&lt;=('首頁'!$B$8*12),G224-D224,"")</f>
      </c>
      <c r="G224" s="39">
        <f>IF((ROW()-3)&lt;=('首頁'!$B$8*12),E223,"")</f>
      </c>
    </row>
    <row r="225" ht="22" customHeight="1" spans="1:7" x14ac:dyDescent="0.25">
      <c r="A225" s="40">
        <f>IF((ROW()-3)&lt;=('首頁'!$B$8*12),ROW()-3,"")</f>
      </c>
      <c r="B225" s="41">
        <f>IF((ROW()-3)&lt;=('首頁'!$B$8*12),C225+D225,"")</f>
      </c>
      <c r="C225" s="42">
        <f>IF((ROW()-3)&lt;=('首頁'!$B$8*12),G225*'首頁'!$B$7/12/100,"")</f>
      </c>
      <c r="D225" s="42">
        <f>IF((ROW()-3)&lt;=('首頁'!$B$8*12),IF(ROW()-3=('首頁'!$B$8*12),G225,MIN(G225,'首頁'!$B$6/('首頁'!$B$8*12))),"")</f>
      </c>
      <c r="E225" s="42">
        <f>IF((ROW()-3)&lt;=('首頁'!$B$8*12),G225-D225,"")</f>
      </c>
      <c r="G225" s="39">
        <f>IF((ROW()-3)&lt;=('首頁'!$B$8*12),E224,"")</f>
      </c>
    </row>
    <row r="226" ht="22" customHeight="1" spans="1:7" x14ac:dyDescent="0.25">
      <c r="A226" s="36">
        <f>IF((ROW()-3)&lt;=('首頁'!$B$8*12),ROW()-3,"")</f>
      </c>
      <c r="B226" s="37">
        <f>IF((ROW()-3)&lt;=('首頁'!$B$8*12),C226+D226,"")</f>
      </c>
      <c r="C226" s="38">
        <f>IF((ROW()-3)&lt;=('首頁'!$B$8*12),G226*'首頁'!$B$7/12/100,"")</f>
      </c>
      <c r="D226" s="38">
        <f>IF((ROW()-3)&lt;=('首頁'!$B$8*12),IF(ROW()-3=('首頁'!$B$8*12),G226,MIN(G226,'首頁'!$B$6/('首頁'!$B$8*12))),"")</f>
      </c>
      <c r="E226" s="38">
        <f>IF((ROW()-3)&lt;=('首頁'!$B$8*12),G226-D226,"")</f>
      </c>
      <c r="G226" s="39">
        <f>IF((ROW()-3)&lt;=('首頁'!$B$8*12),E225,"")</f>
      </c>
    </row>
    <row r="227" ht="22" customHeight="1" spans="1:7" x14ac:dyDescent="0.25">
      <c r="A227" s="40">
        <f>IF((ROW()-3)&lt;=('首頁'!$B$8*12),ROW()-3,"")</f>
      </c>
      <c r="B227" s="41">
        <f>IF((ROW()-3)&lt;=('首頁'!$B$8*12),C227+D227,"")</f>
      </c>
      <c r="C227" s="42">
        <f>IF((ROW()-3)&lt;=('首頁'!$B$8*12),G227*'首頁'!$B$7/12/100,"")</f>
      </c>
      <c r="D227" s="42">
        <f>IF((ROW()-3)&lt;=('首頁'!$B$8*12),IF(ROW()-3=('首頁'!$B$8*12),G227,MIN(G227,'首頁'!$B$6/('首頁'!$B$8*12))),"")</f>
      </c>
      <c r="E227" s="42">
        <f>IF((ROW()-3)&lt;=('首頁'!$B$8*12),G227-D227,"")</f>
      </c>
      <c r="G227" s="39">
        <f>IF((ROW()-3)&lt;=('首頁'!$B$8*12),E226,"")</f>
      </c>
    </row>
    <row r="228" ht="22" customHeight="1" spans="1:7" x14ac:dyDescent="0.25">
      <c r="A228" s="36">
        <f>IF((ROW()-3)&lt;=('首頁'!$B$8*12),ROW()-3,"")</f>
      </c>
      <c r="B228" s="37">
        <f>IF((ROW()-3)&lt;=('首頁'!$B$8*12),C228+D228,"")</f>
      </c>
      <c r="C228" s="38">
        <f>IF((ROW()-3)&lt;=('首頁'!$B$8*12),G228*'首頁'!$B$7/12/100,"")</f>
      </c>
      <c r="D228" s="38">
        <f>IF((ROW()-3)&lt;=('首頁'!$B$8*12),IF(ROW()-3=('首頁'!$B$8*12),G228,MIN(G228,'首頁'!$B$6/('首頁'!$B$8*12))),"")</f>
      </c>
      <c r="E228" s="38">
        <f>IF((ROW()-3)&lt;=('首頁'!$B$8*12),G228-D228,"")</f>
      </c>
      <c r="G228" s="39">
        <f>IF((ROW()-3)&lt;=('首頁'!$B$8*12),E227,"")</f>
      </c>
    </row>
    <row r="229" ht="22" customHeight="1" spans="1:7" x14ac:dyDescent="0.25">
      <c r="A229" s="40">
        <f>IF((ROW()-3)&lt;=('首頁'!$B$8*12),ROW()-3,"")</f>
      </c>
      <c r="B229" s="41">
        <f>IF((ROW()-3)&lt;=('首頁'!$B$8*12),C229+D229,"")</f>
      </c>
      <c r="C229" s="42">
        <f>IF((ROW()-3)&lt;=('首頁'!$B$8*12),G229*'首頁'!$B$7/12/100,"")</f>
      </c>
      <c r="D229" s="42">
        <f>IF((ROW()-3)&lt;=('首頁'!$B$8*12),IF(ROW()-3=('首頁'!$B$8*12),G229,MIN(G229,'首頁'!$B$6/('首頁'!$B$8*12))),"")</f>
      </c>
      <c r="E229" s="42">
        <f>IF((ROW()-3)&lt;=('首頁'!$B$8*12),G229-D229,"")</f>
      </c>
      <c r="G229" s="39">
        <f>IF((ROW()-3)&lt;=('首頁'!$B$8*12),E228,"")</f>
      </c>
    </row>
    <row r="230" ht="22" customHeight="1" spans="1:7" x14ac:dyDescent="0.25">
      <c r="A230" s="36">
        <f>IF((ROW()-3)&lt;=('首頁'!$B$8*12),ROW()-3,"")</f>
      </c>
      <c r="B230" s="37">
        <f>IF((ROW()-3)&lt;=('首頁'!$B$8*12),C230+D230,"")</f>
      </c>
      <c r="C230" s="38">
        <f>IF((ROW()-3)&lt;=('首頁'!$B$8*12),G230*'首頁'!$B$7/12/100,"")</f>
      </c>
      <c r="D230" s="38">
        <f>IF((ROW()-3)&lt;=('首頁'!$B$8*12),IF(ROW()-3=('首頁'!$B$8*12),G230,MIN(G230,'首頁'!$B$6/('首頁'!$B$8*12))),"")</f>
      </c>
      <c r="E230" s="38">
        <f>IF((ROW()-3)&lt;=('首頁'!$B$8*12),G230-D230,"")</f>
      </c>
      <c r="G230" s="39">
        <f>IF((ROW()-3)&lt;=('首頁'!$B$8*12),E229,"")</f>
      </c>
    </row>
    <row r="231" ht="22" customHeight="1" spans="1:7" x14ac:dyDescent="0.25">
      <c r="A231" s="40">
        <f>IF((ROW()-3)&lt;=('首頁'!$B$8*12),ROW()-3,"")</f>
      </c>
      <c r="B231" s="41">
        <f>IF((ROW()-3)&lt;=('首頁'!$B$8*12),C231+D231,"")</f>
      </c>
      <c r="C231" s="42">
        <f>IF((ROW()-3)&lt;=('首頁'!$B$8*12),G231*'首頁'!$B$7/12/100,"")</f>
      </c>
      <c r="D231" s="42">
        <f>IF((ROW()-3)&lt;=('首頁'!$B$8*12),IF(ROW()-3=('首頁'!$B$8*12),G231,MIN(G231,'首頁'!$B$6/('首頁'!$B$8*12))),"")</f>
      </c>
      <c r="E231" s="42">
        <f>IF((ROW()-3)&lt;=('首頁'!$B$8*12),G231-D231,"")</f>
      </c>
      <c r="G231" s="39">
        <f>IF((ROW()-3)&lt;=('首頁'!$B$8*12),E230,"")</f>
      </c>
    </row>
    <row r="232" ht="22" customHeight="1" spans="1:7" x14ac:dyDescent="0.25">
      <c r="A232" s="36">
        <f>IF((ROW()-3)&lt;=('首頁'!$B$8*12),ROW()-3,"")</f>
      </c>
      <c r="B232" s="37">
        <f>IF((ROW()-3)&lt;=('首頁'!$B$8*12),C232+D232,"")</f>
      </c>
      <c r="C232" s="38">
        <f>IF((ROW()-3)&lt;=('首頁'!$B$8*12),G232*'首頁'!$B$7/12/100,"")</f>
      </c>
      <c r="D232" s="38">
        <f>IF((ROW()-3)&lt;=('首頁'!$B$8*12),IF(ROW()-3=('首頁'!$B$8*12),G232,MIN(G232,'首頁'!$B$6/('首頁'!$B$8*12))),"")</f>
      </c>
      <c r="E232" s="38">
        <f>IF((ROW()-3)&lt;=('首頁'!$B$8*12),G232-D232,"")</f>
      </c>
      <c r="G232" s="39">
        <f>IF((ROW()-3)&lt;=('首頁'!$B$8*12),E231,"")</f>
      </c>
    </row>
    <row r="233" ht="22" customHeight="1" spans="1:7" x14ac:dyDescent="0.25">
      <c r="A233" s="40">
        <f>IF((ROW()-3)&lt;=('首頁'!$B$8*12),ROW()-3,"")</f>
      </c>
      <c r="B233" s="41">
        <f>IF((ROW()-3)&lt;=('首頁'!$B$8*12),C233+D233,"")</f>
      </c>
      <c r="C233" s="42">
        <f>IF((ROW()-3)&lt;=('首頁'!$B$8*12),G233*'首頁'!$B$7/12/100,"")</f>
      </c>
      <c r="D233" s="42">
        <f>IF((ROW()-3)&lt;=('首頁'!$B$8*12),IF(ROW()-3=('首頁'!$B$8*12),G233,MIN(G233,'首頁'!$B$6/('首頁'!$B$8*12))),"")</f>
      </c>
      <c r="E233" s="42">
        <f>IF((ROW()-3)&lt;=('首頁'!$B$8*12),G233-D233,"")</f>
      </c>
      <c r="G233" s="39">
        <f>IF((ROW()-3)&lt;=('首頁'!$B$8*12),E232,"")</f>
      </c>
    </row>
    <row r="234" ht="22" customHeight="1" spans="1:7" x14ac:dyDescent="0.25">
      <c r="A234" s="36">
        <f>IF((ROW()-3)&lt;=('首頁'!$B$8*12),ROW()-3,"")</f>
      </c>
      <c r="B234" s="37">
        <f>IF((ROW()-3)&lt;=('首頁'!$B$8*12),C234+D234,"")</f>
      </c>
      <c r="C234" s="38">
        <f>IF((ROW()-3)&lt;=('首頁'!$B$8*12),G234*'首頁'!$B$7/12/100,"")</f>
      </c>
      <c r="D234" s="38">
        <f>IF((ROW()-3)&lt;=('首頁'!$B$8*12),IF(ROW()-3=('首頁'!$B$8*12),G234,MIN(G234,'首頁'!$B$6/('首頁'!$B$8*12))),"")</f>
      </c>
      <c r="E234" s="38">
        <f>IF((ROW()-3)&lt;=('首頁'!$B$8*12),G234-D234,"")</f>
      </c>
      <c r="G234" s="39">
        <f>IF((ROW()-3)&lt;=('首頁'!$B$8*12),E233,"")</f>
      </c>
    </row>
    <row r="235" ht="22" customHeight="1" spans="1:7" x14ac:dyDescent="0.25">
      <c r="A235" s="40">
        <f>IF((ROW()-3)&lt;=('首頁'!$B$8*12),ROW()-3,"")</f>
      </c>
      <c r="B235" s="41">
        <f>IF((ROW()-3)&lt;=('首頁'!$B$8*12),C235+D235,"")</f>
      </c>
      <c r="C235" s="42">
        <f>IF((ROW()-3)&lt;=('首頁'!$B$8*12),G235*'首頁'!$B$7/12/100,"")</f>
      </c>
      <c r="D235" s="42">
        <f>IF((ROW()-3)&lt;=('首頁'!$B$8*12),IF(ROW()-3=('首頁'!$B$8*12),G235,MIN(G235,'首頁'!$B$6/('首頁'!$B$8*12))),"")</f>
      </c>
      <c r="E235" s="42">
        <f>IF((ROW()-3)&lt;=('首頁'!$B$8*12),G235-D235,"")</f>
      </c>
      <c r="G235" s="39">
        <f>IF((ROW()-3)&lt;=('首頁'!$B$8*12),E234,"")</f>
      </c>
    </row>
    <row r="236" ht="22" customHeight="1" spans="1:7" x14ac:dyDescent="0.25">
      <c r="A236" s="36">
        <f>IF((ROW()-3)&lt;=('首頁'!$B$8*12),ROW()-3,"")</f>
      </c>
      <c r="B236" s="37">
        <f>IF((ROW()-3)&lt;=('首頁'!$B$8*12),C236+D236,"")</f>
      </c>
      <c r="C236" s="38">
        <f>IF((ROW()-3)&lt;=('首頁'!$B$8*12),G236*'首頁'!$B$7/12/100,"")</f>
      </c>
      <c r="D236" s="38">
        <f>IF((ROW()-3)&lt;=('首頁'!$B$8*12),IF(ROW()-3=('首頁'!$B$8*12),G236,MIN(G236,'首頁'!$B$6/('首頁'!$B$8*12))),"")</f>
      </c>
      <c r="E236" s="38">
        <f>IF((ROW()-3)&lt;=('首頁'!$B$8*12),G236-D236,"")</f>
      </c>
      <c r="G236" s="39">
        <f>IF((ROW()-3)&lt;=('首頁'!$B$8*12),E235,"")</f>
      </c>
    </row>
    <row r="237" ht="22" customHeight="1" spans="1:7" x14ac:dyDescent="0.25">
      <c r="A237" s="40">
        <f>IF((ROW()-3)&lt;=('首頁'!$B$8*12),ROW()-3,"")</f>
      </c>
      <c r="B237" s="41">
        <f>IF((ROW()-3)&lt;=('首頁'!$B$8*12),C237+D237,"")</f>
      </c>
      <c r="C237" s="42">
        <f>IF((ROW()-3)&lt;=('首頁'!$B$8*12),G237*'首頁'!$B$7/12/100,"")</f>
      </c>
      <c r="D237" s="42">
        <f>IF((ROW()-3)&lt;=('首頁'!$B$8*12),IF(ROW()-3=('首頁'!$B$8*12),G237,MIN(G237,'首頁'!$B$6/('首頁'!$B$8*12))),"")</f>
      </c>
      <c r="E237" s="42">
        <f>IF((ROW()-3)&lt;=('首頁'!$B$8*12),G237-D237,"")</f>
      </c>
      <c r="G237" s="39">
        <f>IF((ROW()-3)&lt;=('首頁'!$B$8*12),E236,"")</f>
      </c>
    </row>
    <row r="238" ht="22" customHeight="1" spans="1:7" x14ac:dyDescent="0.25">
      <c r="A238" s="36">
        <f>IF((ROW()-3)&lt;=('首頁'!$B$8*12),ROW()-3,"")</f>
      </c>
      <c r="B238" s="37">
        <f>IF((ROW()-3)&lt;=('首頁'!$B$8*12),C238+D238,"")</f>
      </c>
      <c r="C238" s="38">
        <f>IF((ROW()-3)&lt;=('首頁'!$B$8*12),G238*'首頁'!$B$7/12/100,"")</f>
      </c>
      <c r="D238" s="38">
        <f>IF((ROW()-3)&lt;=('首頁'!$B$8*12),IF(ROW()-3=('首頁'!$B$8*12),G238,MIN(G238,'首頁'!$B$6/('首頁'!$B$8*12))),"")</f>
      </c>
      <c r="E238" s="38">
        <f>IF((ROW()-3)&lt;=('首頁'!$B$8*12),G238-D238,"")</f>
      </c>
      <c r="G238" s="39">
        <f>IF((ROW()-3)&lt;=('首頁'!$B$8*12),E237,"")</f>
      </c>
    </row>
    <row r="239" ht="22" customHeight="1" spans="1:7" x14ac:dyDescent="0.25">
      <c r="A239" s="40">
        <f>IF((ROW()-3)&lt;=('首頁'!$B$8*12),ROW()-3,"")</f>
      </c>
      <c r="B239" s="41">
        <f>IF((ROW()-3)&lt;=('首頁'!$B$8*12),C239+D239,"")</f>
      </c>
      <c r="C239" s="42">
        <f>IF((ROW()-3)&lt;=('首頁'!$B$8*12),G239*'首頁'!$B$7/12/100,"")</f>
      </c>
      <c r="D239" s="42">
        <f>IF((ROW()-3)&lt;=('首頁'!$B$8*12),IF(ROW()-3=('首頁'!$B$8*12),G239,MIN(G239,'首頁'!$B$6/('首頁'!$B$8*12))),"")</f>
      </c>
      <c r="E239" s="42">
        <f>IF((ROW()-3)&lt;=('首頁'!$B$8*12),G239-D239,"")</f>
      </c>
      <c r="G239" s="39">
        <f>IF((ROW()-3)&lt;=('首頁'!$B$8*12),E238,"")</f>
      </c>
    </row>
    <row r="240" ht="22" customHeight="1" spans="1:7" x14ac:dyDescent="0.25">
      <c r="A240" s="36">
        <f>IF((ROW()-3)&lt;=('首頁'!$B$8*12),ROW()-3,"")</f>
      </c>
      <c r="B240" s="37">
        <f>IF((ROW()-3)&lt;=('首頁'!$B$8*12),C240+D240,"")</f>
      </c>
      <c r="C240" s="38">
        <f>IF((ROW()-3)&lt;=('首頁'!$B$8*12),G240*'首頁'!$B$7/12/100,"")</f>
      </c>
      <c r="D240" s="38">
        <f>IF((ROW()-3)&lt;=('首頁'!$B$8*12),IF(ROW()-3=('首頁'!$B$8*12),G240,MIN(G240,'首頁'!$B$6/('首頁'!$B$8*12))),"")</f>
      </c>
      <c r="E240" s="38">
        <f>IF((ROW()-3)&lt;=('首頁'!$B$8*12),G240-D240,"")</f>
      </c>
      <c r="G240" s="39">
        <f>IF((ROW()-3)&lt;=('首頁'!$B$8*12),E239,"")</f>
      </c>
    </row>
    <row r="241" ht="22" customHeight="1" spans="1:7" x14ac:dyDescent="0.25">
      <c r="A241" s="40">
        <f>IF((ROW()-3)&lt;=('首頁'!$B$8*12),ROW()-3,"")</f>
      </c>
      <c r="B241" s="41">
        <f>IF((ROW()-3)&lt;=('首頁'!$B$8*12),C241+D241,"")</f>
      </c>
      <c r="C241" s="42">
        <f>IF((ROW()-3)&lt;=('首頁'!$B$8*12),G241*'首頁'!$B$7/12/100,"")</f>
      </c>
      <c r="D241" s="42">
        <f>IF((ROW()-3)&lt;=('首頁'!$B$8*12),IF(ROW()-3=('首頁'!$B$8*12),G241,MIN(G241,'首頁'!$B$6/('首頁'!$B$8*12))),"")</f>
      </c>
      <c r="E241" s="42">
        <f>IF((ROW()-3)&lt;=('首頁'!$B$8*12),G241-D241,"")</f>
      </c>
      <c r="G241" s="39">
        <f>IF((ROW()-3)&lt;=('首頁'!$B$8*12),E240,"")</f>
      </c>
    </row>
    <row r="242" ht="22" customHeight="1" spans="1:7" x14ac:dyDescent="0.25">
      <c r="A242" s="36">
        <f>IF((ROW()-3)&lt;=('首頁'!$B$8*12),ROW()-3,"")</f>
      </c>
      <c r="B242" s="37">
        <f>IF((ROW()-3)&lt;=('首頁'!$B$8*12),C242+D242,"")</f>
      </c>
      <c r="C242" s="38">
        <f>IF((ROW()-3)&lt;=('首頁'!$B$8*12),G242*'首頁'!$B$7/12/100,"")</f>
      </c>
      <c r="D242" s="38">
        <f>IF((ROW()-3)&lt;=('首頁'!$B$8*12),IF(ROW()-3=('首頁'!$B$8*12),G242,MIN(G242,'首頁'!$B$6/('首頁'!$B$8*12))),"")</f>
      </c>
      <c r="E242" s="38">
        <f>IF((ROW()-3)&lt;=('首頁'!$B$8*12),G242-D242,"")</f>
      </c>
      <c r="G242" s="39">
        <f>IF((ROW()-3)&lt;=('首頁'!$B$8*12),E241,"")</f>
      </c>
    </row>
    <row r="243" ht="22" customHeight="1" spans="1:7" x14ac:dyDescent="0.25">
      <c r="A243" s="40">
        <f>IF((ROW()-3)&lt;=('首頁'!$B$8*12),ROW()-3,"")</f>
      </c>
      <c r="B243" s="41">
        <f>IF((ROW()-3)&lt;=('首頁'!$B$8*12),C243+D243,"")</f>
      </c>
      <c r="C243" s="42">
        <f>IF((ROW()-3)&lt;=('首頁'!$B$8*12),G243*'首頁'!$B$7/12/100,"")</f>
      </c>
      <c r="D243" s="42">
        <f>IF((ROW()-3)&lt;=('首頁'!$B$8*12),IF(ROW()-3=('首頁'!$B$8*12),G243,MIN(G243,'首頁'!$B$6/('首頁'!$B$8*12))),"")</f>
      </c>
      <c r="E243" s="42">
        <f>IF((ROW()-3)&lt;=('首頁'!$B$8*12),G243-D243,"")</f>
      </c>
      <c r="G243" s="39">
        <f>IF((ROW()-3)&lt;=('首頁'!$B$8*12),E242,"")</f>
      </c>
    </row>
    <row r="244" ht="22" customHeight="1" spans="1:7" x14ac:dyDescent="0.25">
      <c r="A244" s="36">
        <f>IF((ROW()-3)&lt;=('首頁'!$B$8*12),ROW()-3,"")</f>
      </c>
      <c r="B244" s="37">
        <f>IF((ROW()-3)&lt;=('首頁'!$B$8*12),C244+D244,"")</f>
      </c>
      <c r="C244" s="38">
        <f>IF((ROW()-3)&lt;=('首頁'!$B$8*12),G244*'首頁'!$B$7/12/100,"")</f>
      </c>
      <c r="D244" s="38">
        <f>IF((ROW()-3)&lt;=('首頁'!$B$8*12),IF(ROW()-3=('首頁'!$B$8*12),G244,MIN(G244,'首頁'!$B$6/('首頁'!$B$8*12))),"")</f>
      </c>
      <c r="E244" s="38">
        <f>IF((ROW()-3)&lt;=('首頁'!$B$8*12),G244-D244,"")</f>
      </c>
      <c r="G244" s="39">
        <f>IF((ROW()-3)&lt;=('首頁'!$B$8*12),E243,"")</f>
      </c>
    </row>
    <row r="245" ht="22" customHeight="1" spans="1:7" x14ac:dyDescent="0.25">
      <c r="A245" s="40">
        <f>IF((ROW()-3)&lt;=('首頁'!$B$8*12),ROW()-3,"")</f>
      </c>
      <c r="B245" s="41">
        <f>IF((ROW()-3)&lt;=('首頁'!$B$8*12),C245+D245,"")</f>
      </c>
      <c r="C245" s="42">
        <f>IF((ROW()-3)&lt;=('首頁'!$B$8*12),G245*'首頁'!$B$7/12/100,"")</f>
      </c>
      <c r="D245" s="42">
        <f>IF((ROW()-3)&lt;=('首頁'!$B$8*12),IF(ROW()-3=('首頁'!$B$8*12),G245,MIN(G245,'首頁'!$B$6/('首頁'!$B$8*12))),"")</f>
      </c>
      <c r="E245" s="42">
        <f>IF((ROW()-3)&lt;=('首頁'!$B$8*12),G245-D245,"")</f>
      </c>
      <c r="G245" s="39">
        <f>IF((ROW()-3)&lt;=('首頁'!$B$8*12),E244,"")</f>
      </c>
    </row>
    <row r="246" ht="22" customHeight="1" spans="1:7" x14ac:dyDescent="0.25">
      <c r="A246" s="36">
        <f>IF((ROW()-3)&lt;=('首頁'!$B$8*12),ROW()-3,"")</f>
      </c>
      <c r="B246" s="37">
        <f>IF((ROW()-3)&lt;=('首頁'!$B$8*12),C246+D246,"")</f>
      </c>
      <c r="C246" s="38">
        <f>IF((ROW()-3)&lt;=('首頁'!$B$8*12),G246*'首頁'!$B$7/12/100,"")</f>
      </c>
      <c r="D246" s="38">
        <f>IF((ROW()-3)&lt;=('首頁'!$B$8*12),IF(ROW()-3=('首頁'!$B$8*12),G246,MIN(G246,'首頁'!$B$6/('首頁'!$B$8*12))),"")</f>
      </c>
      <c r="E246" s="38">
        <f>IF((ROW()-3)&lt;=('首頁'!$B$8*12),G246-D246,"")</f>
      </c>
      <c r="G246" s="39">
        <f>IF((ROW()-3)&lt;=('首頁'!$B$8*12),E245,"")</f>
      </c>
    </row>
    <row r="247" ht="22" customHeight="1" spans="1:7" x14ac:dyDescent="0.25">
      <c r="A247" s="40">
        <f>IF((ROW()-3)&lt;=('首頁'!$B$8*12),ROW()-3,"")</f>
      </c>
      <c r="B247" s="41">
        <f>IF((ROW()-3)&lt;=('首頁'!$B$8*12),C247+D247,"")</f>
      </c>
      <c r="C247" s="42">
        <f>IF((ROW()-3)&lt;=('首頁'!$B$8*12),G247*'首頁'!$B$7/12/100,"")</f>
      </c>
      <c r="D247" s="42">
        <f>IF((ROW()-3)&lt;=('首頁'!$B$8*12),IF(ROW()-3=('首頁'!$B$8*12),G247,MIN(G247,'首頁'!$B$6/('首頁'!$B$8*12))),"")</f>
      </c>
      <c r="E247" s="42">
        <f>IF((ROW()-3)&lt;=('首頁'!$B$8*12),G247-D247,"")</f>
      </c>
      <c r="G247" s="39">
        <f>IF((ROW()-3)&lt;=('首頁'!$B$8*12),E246,"")</f>
      </c>
    </row>
    <row r="248" ht="22" customHeight="1" spans="1:7" x14ac:dyDescent="0.25">
      <c r="A248" s="36">
        <f>IF((ROW()-3)&lt;=('首頁'!$B$8*12),ROW()-3,"")</f>
      </c>
      <c r="B248" s="37">
        <f>IF((ROW()-3)&lt;=('首頁'!$B$8*12),C248+D248,"")</f>
      </c>
      <c r="C248" s="38">
        <f>IF((ROW()-3)&lt;=('首頁'!$B$8*12),G248*'首頁'!$B$7/12/100,"")</f>
      </c>
      <c r="D248" s="38">
        <f>IF((ROW()-3)&lt;=('首頁'!$B$8*12),IF(ROW()-3=('首頁'!$B$8*12),G248,MIN(G248,'首頁'!$B$6/('首頁'!$B$8*12))),"")</f>
      </c>
      <c r="E248" s="38">
        <f>IF((ROW()-3)&lt;=('首頁'!$B$8*12),G248-D248,"")</f>
      </c>
      <c r="G248" s="39">
        <f>IF((ROW()-3)&lt;=('首頁'!$B$8*12),E247,"")</f>
      </c>
    </row>
    <row r="249" ht="22" customHeight="1" spans="1:7" x14ac:dyDescent="0.25">
      <c r="A249" s="40">
        <f>IF((ROW()-3)&lt;=('首頁'!$B$8*12),ROW()-3,"")</f>
      </c>
      <c r="B249" s="41">
        <f>IF((ROW()-3)&lt;=('首頁'!$B$8*12),C249+D249,"")</f>
      </c>
      <c r="C249" s="42">
        <f>IF((ROW()-3)&lt;=('首頁'!$B$8*12),G249*'首頁'!$B$7/12/100,"")</f>
      </c>
      <c r="D249" s="42">
        <f>IF((ROW()-3)&lt;=('首頁'!$B$8*12),IF(ROW()-3=('首頁'!$B$8*12),G249,MIN(G249,'首頁'!$B$6/('首頁'!$B$8*12))),"")</f>
      </c>
      <c r="E249" s="42">
        <f>IF((ROW()-3)&lt;=('首頁'!$B$8*12),G249-D249,"")</f>
      </c>
      <c r="G249" s="39">
        <f>IF((ROW()-3)&lt;=('首頁'!$B$8*12),E248,"")</f>
      </c>
    </row>
    <row r="250" ht="22" customHeight="1" spans="1:7" x14ac:dyDescent="0.25">
      <c r="A250" s="36">
        <f>IF((ROW()-3)&lt;=('首頁'!$B$8*12),ROW()-3,"")</f>
      </c>
      <c r="B250" s="37">
        <f>IF((ROW()-3)&lt;=('首頁'!$B$8*12),C250+D250,"")</f>
      </c>
      <c r="C250" s="38">
        <f>IF((ROW()-3)&lt;=('首頁'!$B$8*12),G250*'首頁'!$B$7/12/100,"")</f>
      </c>
      <c r="D250" s="38">
        <f>IF((ROW()-3)&lt;=('首頁'!$B$8*12),IF(ROW()-3=('首頁'!$B$8*12),G250,MIN(G250,'首頁'!$B$6/('首頁'!$B$8*12))),"")</f>
      </c>
      <c r="E250" s="38">
        <f>IF((ROW()-3)&lt;=('首頁'!$B$8*12),G250-D250,"")</f>
      </c>
      <c r="G250" s="39">
        <f>IF((ROW()-3)&lt;=('首頁'!$B$8*12),E249,"")</f>
      </c>
    </row>
    <row r="251" ht="22" customHeight="1" spans="1:7" x14ac:dyDescent="0.25">
      <c r="A251" s="40">
        <f>IF((ROW()-3)&lt;=('首頁'!$B$8*12),ROW()-3,"")</f>
      </c>
      <c r="B251" s="41">
        <f>IF((ROW()-3)&lt;=('首頁'!$B$8*12),C251+D251,"")</f>
      </c>
      <c r="C251" s="42">
        <f>IF((ROW()-3)&lt;=('首頁'!$B$8*12),G251*'首頁'!$B$7/12/100,"")</f>
      </c>
      <c r="D251" s="42">
        <f>IF((ROW()-3)&lt;=('首頁'!$B$8*12),IF(ROW()-3=('首頁'!$B$8*12),G251,MIN(G251,'首頁'!$B$6/('首頁'!$B$8*12))),"")</f>
      </c>
      <c r="E251" s="42">
        <f>IF((ROW()-3)&lt;=('首頁'!$B$8*12),G251-D251,"")</f>
      </c>
      <c r="G251" s="39">
        <f>IF((ROW()-3)&lt;=('首頁'!$B$8*12),E250,"")</f>
      </c>
    </row>
    <row r="252" ht="22" customHeight="1" spans="1:7" x14ac:dyDescent="0.25">
      <c r="A252" s="36">
        <f>IF((ROW()-3)&lt;=('首頁'!$B$8*12),ROW()-3,"")</f>
      </c>
      <c r="B252" s="37">
        <f>IF((ROW()-3)&lt;=('首頁'!$B$8*12),C252+D252,"")</f>
      </c>
      <c r="C252" s="38">
        <f>IF((ROW()-3)&lt;=('首頁'!$B$8*12),G252*'首頁'!$B$7/12/100,"")</f>
      </c>
      <c r="D252" s="38">
        <f>IF((ROW()-3)&lt;=('首頁'!$B$8*12),IF(ROW()-3=('首頁'!$B$8*12),G252,MIN(G252,'首頁'!$B$6/('首頁'!$B$8*12))),"")</f>
      </c>
      <c r="E252" s="38">
        <f>IF((ROW()-3)&lt;=('首頁'!$B$8*12),G252-D252,"")</f>
      </c>
      <c r="G252" s="39">
        <f>IF((ROW()-3)&lt;=('首頁'!$B$8*12),E251,"")</f>
      </c>
    </row>
    <row r="253" ht="22" customHeight="1" spans="1:7" x14ac:dyDescent="0.25">
      <c r="A253" s="40">
        <f>IF((ROW()-3)&lt;=('首頁'!$B$8*12),ROW()-3,"")</f>
      </c>
      <c r="B253" s="41">
        <f>IF((ROW()-3)&lt;=('首頁'!$B$8*12),C253+D253,"")</f>
      </c>
      <c r="C253" s="42">
        <f>IF((ROW()-3)&lt;=('首頁'!$B$8*12),G253*'首頁'!$B$7/12/100,"")</f>
      </c>
      <c r="D253" s="42">
        <f>IF((ROW()-3)&lt;=('首頁'!$B$8*12),IF(ROW()-3=('首頁'!$B$8*12),G253,MIN(G253,'首頁'!$B$6/('首頁'!$B$8*12))),"")</f>
      </c>
      <c r="E253" s="42">
        <f>IF((ROW()-3)&lt;=('首頁'!$B$8*12),G253-D253,"")</f>
      </c>
      <c r="G253" s="39">
        <f>IF((ROW()-3)&lt;=('首頁'!$B$8*12),E252,"")</f>
      </c>
    </row>
    <row r="254" ht="22" customHeight="1" spans="1:7" x14ac:dyDescent="0.25">
      <c r="A254" s="36">
        <f>IF((ROW()-3)&lt;=('首頁'!$B$8*12),ROW()-3,"")</f>
      </c>
      <c r="B254" s="37">
        <f>IF((ROW()-3)&lt;=('首頁'!$B$8*12),C254+D254,"")</f>
      </c>
      <c r="C254" s="38">
        <f>IF((ROW()-3)&lt;=('首頁'!$B$8*12),G254*'首頁'!$B$7/12/100,"")</f>
      </c>
      <c r="D254" s="38">
        <f>IF((ROW()-3)&lt;=('首頁'!$B$8*12),IF(ROW()-3=('首頁'!$B$8*12),G254,MIN(G254,'首頁'!$B$6/('首頁'!$B$8*12))),"")</f>
      </c>
      <c r="E254" s="38">
        <f>IF((ROW()-3)&lt;=('首頁'!$B$8*12),G254-D254,"")</f>
      </c>
      <c r="G254" s="39">
        <f>IF((ROW()-3)&lt;=('首頁'!$B$8*12),E253,"")</f>
      </c>
    </row>
    <row r="255" ht="22" customHeight="1" spans="1:7" x14ac:dyDescent="0.25">
      <c r="A255" s="40">
        <f>IF((ROW()-3)&lt;=('首頁'!$B$8*12),ROW()-3,"")</f>
      </c>
      <c r="B255" s="41">
        <f>IF((ROW()-3)&lt;=('首頁'!$B$8*12),C255+D255,"")</f>
      </c>
      <c r="C255" s="42">
        <f>IF((ROW()-3)&lt;=('首頁'!$B$8*12),G255*'首頁'!$B$7/12/100,"")</f>
      </c>
      <c r="D255" s="42">
        <f>IF((ROW()-3)&lt;=('首頁'!$B$8*12),IF(ROW()-3=('首頁'!$B$8*12),G255,MIN(G255,'首頁'!$B$6/('首頁'!$B$8*12))),"")</f>
      </c>
      <c r="E255" s="42">
        <f>IF((ROW()-3)&lt;=('首頁'!$B$8*12),G255-D255,"")</f>
      </c>
      <c r="G255" s="39">
        <f>IF((ROW()-3)&lt;=('首頁'!$B$8*12),E254,"")</f>
      </c>
    </row>
    <row r="256" ht="22" customHeight="1" spans="1:7" x14ac:dyDescent="0.25">
      <c r="A256" s="36">
        <f>IF((ROW()-3)&lt;=('首頁'!$B$8*12),ROW()-3,"")</f>
      </c>
      <c r="B256" s="37">
        <f>IF((ROW()-3)&lt;=('首頁'!$B$8*12),C256+D256,"")</f>
      </c>
      <c r="C256" s="38">
        <f>IF((ROW()-3)&lt;=('首頁'!$B$8*12),G256*'首頁'!$B$7/12/100,"")</f>
      </c>
      <c r="D256" s="38">
        <f>IF((ROW()-3)&lt;=('首頁'!$B$8*12),IF(ROW()-3=('首頁'!$B$8*12),G256,MIN(G256,'首頁'!$B$6/('首頁'!$B$8*12))),"")</f>
      </c>
      <c r="E256" s="38">
        <f>IF((ROW()-3)&lt;=('首頁'!$B$8*12),G256-D256,"")</f>
      </c>
      <c r="G256" s="39">
        <f>IF((ROW()-3)&lt;=('首頁'!$B$8*12),E255,"")</f>
      </c>
    </row>
    <row r="257" ht="22" customHeight="1" spans="1:7" x14ac:dyDescent="0.25">
      <c r="A257" s="40">
        <f>IF((ROW()-3)&lt;=('首頁'!$B$8*12),ROW()-3,"")</f>
      </c>
      <c r="B257" s="41">
        <f>IF((ROW()-3)&lt;=('首頁'!$B$8*12),C257+D257,"")</f>
      </c>
      <c r="C257" s="42">
        <f>IF((ROW()-3)&lt;=('首頁'!$B$8*12),G257*'首頁'!$B$7/12/100,"")</f>
      </c>
      <c r="D257" s="42">
        <f>IF((ROW()-3)&lt;=('首頁'!$B$8*12),IF(ROW()-3=('首頁'!$B$8*12),G257,MIN(G257,'首頁'!$B$6/('首頁'!$B$8*12))),"")</f>
      </c>
      <c r="E257" s="42">
        <f>IF((ROW()-3)&lt;=('首頁'!$B$8*12),G257-D257,"")</f>
      </c>
      <c r="G257" s="39">
        <f>IF((ROW()-3)&lt;=('首頁'!$B$8*12),E256,"")</f>
      </c>
    </row>
    <row r="258" ht="22" customHeight="1" spans="1:7" x14ac:dyDescent="0.25">
      <c r="A258" s="36">
        <f>IF((ROW()-3)&lt;=('首頁'!$B$8*12),ROW()-3,"")</f>
      </c>
      <c r="B258" s="37">
        <f>IF((ROW()-3)&lt;=('首頁'!$B$8*12),C258+D258,"")</f>
      </c>
      <c r="C258" s="38">
        <f>IF((ROW()-3)&lt;=('首頁'!$B$8*12),G258*'首頁'!$B$7/12/100,"")</f>
      </c>
      <c r="D258" s="38">
        <f>IF((ROW()-3)&lt;=('首頁'!$B$8*12),IF(ROW()-3=('首頁'!$B$8*12),G258,MIN(G258,'首頁'!$B$6/('首頁'!$B$8*12))),"")</f>
      </c>
      <c r="E258" s="38">
        <f>IF((ROW()-3)&lt;=('首頁'!$B$8*12),G258-D258,"")</f>
      </c>
      <c r="G258" s="39">
        <f>IF((ROW()-3)&lt;=('首頁'!$B$8*12),E257,"")</f>
      </c>
    </row>
    <row r="259" ht="22" customHeight="1" spans="1:7" x14ac:dyDescent="0.25">
      <c r="A259" s="40">
        <f>IF((ROW()-3)&lt;=('首頁'!$B$8*12),ROW()-3,"")</f>
      </c>
      <c r="B259" s="41">
        <f>IF((ROW()-3)&lt;=('首頁'!$B$8*12),C259+D259,"")</f>
      </c>
      <c r="C259" s="42">
        <f>IF((ROW()-3)&lt;=('首頁'!$B$8*12),G259*'首頁'!$B$7/12/100,"")</f>
      </c>
      <c r="D259" s="42">
        <f>IF((ROW()-3)&lt;=('首頁'!$B$8*12),IF(ROW()-3=('首頁'!$B$8*12),G259,MIN(G259,'首頁'!$B$6/('首頁'!$B$8*12))),"")</f>
      </c>
      <c r="E259" s="42">
        <f>IF((ROW()-3)&lt;=('首頁'!$B$8*12),G259-D259,"")</f>
      </c>
      <c r="G259" s="39">
        <f>IF((ROW()-3)&lt;=('首頁'!$B$8*12),E258,"")</f>
      </c>
    </row>
    <row r="260" ht="22" customHeight="1" spans="1:7" x14ac:dyDescent="0.25">
      <c r="A260" s="36">
        <f>IF((ROW()-3)&lt;=('首頁'!$B$8*12),ROW()-3,"")</f>
      </c>
      <c r="B260" s="37">
        <f>IF((ROW()-3)&lt;=('首頁'!$B$8*12),C260+D260,"")</f>
      </c>
      <c r="C260" s="38">
        <f>IF((ROW()-3)&lt;=('首頁'!$B$8*12),G260*'首頁'!$B$7/12/100,"")</f>
      </c>
      <c r="D260" s="38">
        <f>IF((ROW()-3)&lt;=('首頁'!$B$8*12),IF(ROW()-3=('首頁'!$B$8*12),G260,MIN(G260,'首頁'!$B$6/('首頁'!$B$8*12))),"")</f>
      </c>
      <c r="E260" s="38">
        <f>IF((ROW()-3)&lt;=('首頁'!$B$8*12),G260-D260,"")</f>
      </c>
      <c r="G260" s="39">
        <f>IF((ROW()-3)&lt;=('首頁'!$B$8*12),E259,"")</f>
      </c>
    </row>
    <row r="261" ht="22" customHeight="1" spans="1:7" x14ac:dyDescent="0.25">
      <c r="A261" s="40">
        <f>IF((ROW()-3)&lt;=('首頁'!$B$8*12),ROW()-3,"")</f>
      </c>
      <c r="B261" s="41">
        <f>IF((ROW()-3)&lt;=('首頁'!$B$8*12),C261+D261,"")</f>
      </c>
      <c r="C261" s="42">
        <f>IF((ROW()-3)&lt;=('首頁'!$B$8*12),G261*'首頁'!$B$7/12/100,"")</f>
      </c>
      <c r="D261" s="42">
        <f>IF((ROW()-3)&lt;=('首頁'!$B$8*12),IF(ROW()-3=('首頁'!$B$8*12),G261,MIN(G261,'首頁'!$B$6/('首頁'!$B$8*12))),"")</f>
      </c>
      <c r="E261" s="42">
        <f>IF((ROW()-3)&lt;=('首頁'!$B$8*12),G261-D261,"")</f>
      </c>
      <c r="G261" s="39">
        <f>IF((ROW()-3)&lt;=('首頁'!$B$8*12),E260,"")</f>
      </c>
    </row>
    <row r="262" ht="22" customHeight="1" spans="1:7" x14ac:dyDescent="0.25">
      <c r="A262" s="36">
        <f>IF((ROW()-3)&lt;=('首頁'!$B$8*12),ROW()-3,"")</f>
      </c>
      <c r="B262" s="37">
        <f>IF((ROW()-3)&lt;=('首頁'!$B$8*12),C262+D262,"")</f>
      </c>
      <c r="C262" s="38">
        <f>IF((ROW()-3)&lt;=('首頁'!$B$8*12),G262*'首頁'!$B$7/12/100,"")</f>
      </c>
      <c r="D262" s="38">
        <f>IF((ROW()-3)&lt;=('首頁'!$B$8*12),IF(ROW()-3=('首頁'!$B$8*12),G262,MIN(G262,'首頁'!$B$6/('首頁'!$B$8*12))),"")</f>
      </c>
      <c r="E262" s="38">
        <f>IF((ROW()-3)&lt;=('首頁'!$B$8*12),G262-D262,"")</f>
      </c>
      <c r="G262" s="39">
        <f>IF((ROW()-3)&lt;=('首頁'!$B$8*12),E261,"")</f>
      </c>
    </row>
    <row r="263" ht="22" customHeight="1" spans="1:7" x14ac:dyDescent="0.25">
      <c r="A263" s="40">
        <f>IF((ROW()-3)&lt;=('首頁'!$B$8*12),ROW()-3,"")</f>
      </c>
      <c r="B263" s="41">
        <f>IF((ROW()-3)&lt;=('首頁'!$B$8*12),C263+D263,"")</f>
      </c>
      <c r="C263" s="42">
        <f>IF((ROW()-3)&lt;=('首頁'!$B$8*12),G263*'首頁'!$B$7/12/100,"")</f>
      </c>
      <c r="D263" s="42">
        <f>IF((ROW()-3)&lt;=('首頁'!$B$8*12),IF(ROW()-3=('首頁'!$B$8*12),G263,MIN(G263,'首頁'!$B$6/('首頁'!$B$8*12))),"")</f>
      </c>
      <c r="E263" s="42">
        <f>IF((ROW()-3)&lt;=('首頁'!$B$8*12),G263-D263,"")</f>
      </c>
      <c r="G263" s="39">
        <f>IF((ROW()-3)&lt;=('首頁'!$B$8*12),E262,"")</f>
      </c>
    </row>
    <row r="264" ht="22" customHeight="1" spans="1:7" x14ac:dyDescent="0.25">
      <c r="A264" s="36">
        <f>IF((ROW()-3)&lt;=('首頁'!$B$8*12),ROW()-3,"")</f>
      </c>
      <c r="B264" s="37">
        <f>IF((ROW()-3)&lt;=('首頁'!$B$8*12),C264+D264,"")</f>
      </c>
      <c r="C264" s="38">
        <f>IF((ROW()-3)&lt;=('首頁'!$B$8*12),G264*'首頁'!$B$7/12/100,"")</f>
      </c>
      <c r="D264" s="38">
        <f>IF((ROW()-3)&lt;=('首頁'!$B$8*12),IF(ROW()-3=('首頁'!$B$8*12),G264,MIN(G264,'首頁'!$B$6/('首頁'!$B$8*12))),"")</f>
      </c>
      <c r="E264" s="38">
        <f>IF((ROW()-3)&lt;=('首頁'!$B$8*12),G264-D264,"")</f>
      </c>
      <c r="G264" s="39">
        <f>IF((ROW()-3)&lt;=('首頁'!$B$8*12),E263,"")</f>
      </c>
    </row>
    <row r="265" ht="22" customHeight="1" spans="1:7" x14ac:dyDescent="0.25">
      <c r="A265" s="40">
        <f>IF((ROW()-3)&lt;=('首頁'!$B$8*12),ROW()-3,"")</f>
      </c>
      <c r="B265" s="41">
        <f>IF((ROW()-3)&lt;=('首頁'!$B$8*12),C265+D265,"")</f>
      </c>
      <c r="C265" s="42">
        <f>IF((ROW()-3)&lt;=('首頁'!$B$8*12),G265*'首頁'!$B$7/12/100,"")</f>
      </c>
      <c r="D265" s="42">
        <f>IF((ROW()-3)&lt;=('首頁'!$B$8*12),IF(ROW()-3=('首頁'!$B$8*12),G265,MIN(G265,'首頁'!$B$6/('首頁'!$B$8*12))),"")</f>
      </c>
      <c r="E265" s="42">
        <f>IF((ROW()-3)&lt;=('首頁'!$B$8*12),G265-D265,"")</f>
      </c>
      <c r="G265" s="39">
        <f>IF((ROW()-3)&lt;=('首頁'!$B$8*12),E264,"")</f>
      </c>
    </row>
    <row r="266" ht="22" customHeight="1" spans="1:7" x14ac:dyDescent="0.25">
      <c r="A266" s="36">
        <f>IF((ROW()-3)&lt;=('首頁'!$B$8*12),ROW()-3,"")</f>
      </c>
      <c r="B266" s="37">
        <f>IF((ROW()-3)&lt;=('首頁'!$B$8*12),C266+D266,"")</f>
      </c>
      <c r="C266" s="38">
        <f>IF((ROW()-3)&lt;=('首頁'!$B$8*12),G266*'首頁'!$B$7/12/100,"")</f>
      </c>
      <c r="D266" s="38">
        <f>IF((ROW()-3)&lt;=('首頁'!$B$8*12),IF(ROW()-3=('首頁'!$B$8*12),G266,MIN(G266,'首頁'!$B$6/('首頁'!$B$8*12))),"")</f>
      </c>
      <c r="E266" s="38">
        <f>IF((ROW()-3)&lt;=('首頁'!$B$8*12),G266-D266,"")</f>
      </c>
      <c r="G266" s="39">
        <f>IF((ROW()-3)&lt;=('首頁'!$B$8*12),E265,"")</f>
      </c>
    </row>
    <row r="267" ht="22" customHeight="1" spans="1:7" x14ac:dyDescent="0.25">
      <c r="A267" s="40">
        <f>IF((ROW()-3)&lt;=('首頁'!$B$8*12),ROW()-3,"")</f>
      </c>
      <c r="B267" s="41">
        <f>IF((ROW()-3)&lt;=('首頁'!$B$8*12),C267+D267,"")</f>
      </c>
      <c r="C267" s="42">
        <f>IF((ROW()-3)&lt;=('首頁'!$B$8*12),G267*'首頁'!$B$7/12/100,"")</f>
      </c>
      <c r="D267" s="42">
        <f>IF((ROW()-3)&lt;=('首頁'!$B$8*12),IF(ROW()-3=('首頁'!$B$8*12),G267,MIN(G267,'首頁'!$B$6/('首頁'!$B$8*12))),"")</f>
      </c>
      <c r="E267" s="42">
        <f>IF((ROW()-3)&lt;=('首頁'!$B$8*12),G267-D267,"")</f>
      </c>
      <c r="G267" s="39">
        <f>IF((ROW()-3)&lt;=('首頁'!$B$8*12),E266,"")</f>
      </c>
    </row>
    <row r="268" ht="22" customHeight="1" spans="1:7" x14ac:dyDescent="0.25">
      <c r="A268" s="36">
        <f>IF((ROW()-3)&lt;=('首頁'!$B$8*12),ROW()-3,"")</f>
      </c>
      <c r="B268" s="37">
        <f>IF((ROW()-3)&lt;=('首頁'!$B$8*12),C268+D268,"")</f>
      </c>
      <c r="C268" s="38">
        <f>IF((ROW()-3)&lt;=('首頁'!$B$8*12),G268*'首頁'!$B$7/12/100,"")</f>
      </c>
      <c r="D268" s="38">
        <f>IF((ROW()-3)&lt;=('首頁'!$B$8*12),IF(ROW()-3=('首頁'!$B$8*12),G268,MIN(G268,'首頁'!$B$6/('首頁'!$B$8*12))),"")</f>
      </c>
      <c r="E268" s="38">
        <f>IF((ROW()-3)&lt;=('首頁'!$B$8*12),G268-D268,"")</f>
      </c>
      <c r="G268" s="39">
        <f>IF((ROW()-3)&lt;=('首頁'!$B$8*12),E267,"")</f>
      </c>
    </row>
    <row r="269" ht="22" customHeight="1" spans="1:7" x14ac:dyDescent="0.25">
      <c r="A269" s="40">
        <f>IF((ROW()-3)&lt;=('首頁'!$B$8*12),ROW()-3,"")</f>
      </c>
      <c r="B269" s="41">
        <f>IF((ROW()-3)&lt;=('首頁'!$B$8*12),C269+D269,"")</f>
      </c>
      <c r="C269" s="42">
        <f>IF((ROW()-3)&lt;=('首頁'!$B$8*12),G269*'首頁'!$B$7/12/100,"")</f>
      </c>
      <c r="D269" s="42">
        <f>IF((ROW()-3)&lt;=('首頁'!$B$8*12),IF(ROW()-3=('首頁'!$B$8*12),G269,MIN(G269,'首頁'!$B$6/('首頁'!$B$8*12))),"")</f>
      </c>
      <c r="E269" s="42">
        <f>IF((ROW()-3)&lt;=('首頁'!$B$8*12),G269-D269,"")</f>
      </c>
      <c r="G269" s="39">
        <f>IF((ROW()-3)&lt;=('首頁'!$B$8*12),E268,"")</f>
      </c>
    </row>
    <row r="270" ht="22" customHeight="1" spans="1:7" x14ac:dyDescent="0.25">
      <c r="A270" s="36">
        <f>IF((ROW()-3)&lt;=('首頁'!$B$8*12),ROW()-3,"")</f>
      </c>
      <c r="B270" s="37">
        <f>IF((ROW()-3)&lt;=('首頁'!$B$8*12),C270+D270,"")</f>
      </c>
      <c r="C270" s="38">
        <f>IF((ROW()-3)&lt;=('首頁'!$B$8*12),G270*'首頁'!$B$7/12/100,"")</f>
      </c>
      <c r="D270" s="38">
        <f>IF((ROW()-3)&lt;=('首頁'!$B$8*12),IF(ROW()-3=('首頁'!$B$8*12),G270,MIN(G270,'首頁'!$B$6/('首頁'!$B$8*12))),"")</f>
      </c>
      <c r="E270" s="38">
        <f>IF((ROW()-3)&lt;=('首頁'!$B$8*12),G270-D270,"")</f>
      </c>
      <c r="G270" s="39">
        <f>IF((ROW()-3)&lt;=('首頁'!$B$8*12),E269,"")</f>
      </c>
    </row>
    <row r="271" ht="22" customHeight="1" spans="1:7" x14ac:dyDescent="0.25">
      <c r="A271" s="40">
        <f>IF((ROW()-3)&lt;=('首頁'!$B$8*12),ROW()-3,"")</f>
      </c>
      <c r="B271" s="41">
        <f>IF((ROW()-3)&lt;=('首頁'!$B$8*12),C271+D271,"")</f>
      </c>
      <c r="C271" s="42">
        <f>IF((ROW()-3)&lt;=('首頁'!$B$8*12),G271*'首頁'!$B$7/12/100,"")</f>
      </c>
      <c r="D271" s="42">
        <f>IF((ROW()-3)&lt;=('首頁'!$B$8*12),IF(ROW()-3=('首頁'!$B$8*12),G271,MIN(G271,'首頁'!$B$6/('首頁'!$B$8*12))),"")</f>
      </c>
      <c r="E271" s="42">
        <f>IF((ROW()-3)&lt;=('首頁'!$B$8*12),G271-D271,"")</f>
      </c>
      <c r="G271" s="39">
        <f>IF((ROW()-3)&lt;=('首頁'!$B$8*12),E270,"")</f>
      </c>
    </row>
    <row r="272" ht="22" customHeight="1" spans="1:7" x14ac:dyDescent="0.25">
      <c r="A272" s="36">
        <f>IF((ROW()-3)&lt;=('首頁'!$B$8*12),ROW()-3,"")</f>
      </c>
      <c r="B272" s="37">
        <f>IF((ROW()-3)&lt;=('首頁'!$B$8*12),C272+D272,"")</f>
      </c>
      <c r="C272" s="38">
        <f>IF((ROW()-3)&lt;=('首頁'!$B$8*12),G272*'首頁'!$B$7/12/100,"")</f>
      </c>
      <c r="D272" s="38">
        <f>IF((ROW()-3)&lt;=('首頁'!$B$8*12),IF(ROW()-3=('首頁'!$B$8*12),G272,MIN(G272,'首頁'!$B$6/('首頁'!$B$8*12))),"")</f>
      </c>
      <c r="E272" s="38">
        <f>IF((ROW()-3)&lt;=('首頁'!$B$8*12),G272-D272,"")</f>
      </c>
      <c r="G272" s="39">
        <f>IF((ROW()-3)&lt;=('首頁'!$B$8*12),E271,"")</f>
      </c>
    </row>
    <row r="273" ht="22" customHeight="1" spans="1:7" x14ac:dyDescent="0.25">
      <c r="A273" s="40">
        <f>IF((ROW()-3)&lt;=('首頁'!$B$8*12),ROW()-3,"")</f>
      </c>
      <c r="B273" s="41">
        <f>IF((ROW()-3)&lt;=('首頁'!$B$8*12),C273+D273,"")</f>
      </c>
      <c r="C273" s="42">
        <f>IF((ROW()-3)&lt;=('首頁'!$B$8*12),G273*'首頁'!$B$7/12/100,"")</f>
      </c>
      <c r="D273" s="42">
        <f>IF((ROW()-3)&lt;=('首頁'!$B$8*12),IF(ROW()-3=('首頁'!$B$8*12),G273,MIN(G273,'首頁'!$B$6/('首頁'!$B$8*12))),"")</f>
      </c>
      <c r="E273" s="42">
        <f>IF((ROW()-3)&lt;=('首頁'!$B$8*12),G273-D273,"")</f>
      </c>
      <c r="G273" s="39">
        <f>IF((ROW()-3)&lt;=('首頁'!$B$8*12),E272,"")</f>
      </c>
    </row>
    <row r="274" ht="22" customHeight="1" spans="1:7" x14ac:dyDescent="0.25">
      <c r="A274" s="36">
        <f>IF((ROW()-3)&lt;=('首頁'!$B$8*12),ROW()-3,"")</f>
      </c>
      <c r="B274" s="37">
        <f>IF((ROW()-3)&lt;=('首頁'!$B$8*12),C274+D274,"")</f>
      </c>
      <c r="C274" s="38">
        <f>IF((ROW()-3)&lt;=('首頁'!$B$8*12),G274*'首頁'!$B$7/12/100,"")</f>
      </c>
      <c r="D274" s="38">
        <f>IF((ROW()-3)&lt;=('首頁'!$B$8*12),IF(ROW()-3=('首頁'!$B$8*12),G274,MIN(G274,'首頁'!$B$6/('首頁'!$B$8*12))),"")</f>
      </c>
      <c r="E274" s="38">
        <f>IF((ROW()-3)&lt;=('首頁'!$B$8*12),G274-D274,"")</f>
      </c>
      <c r="G274" s="39">
        <f>IF((ROW()-3)&lt;=('首頁'!$B$8*12),E273,"")</f>
      </c>
    </row>
    <row r="275" ht="22" customHeight="1" spans="1:7" x14ac:dyDescent="0.25">
      <c r="A275" s="40">
        <f>IF((ROW()-3)&lt;=('首頁'!$B$8*12),ROW()-3,"")</f>
      </c>
      <c r="B275" s="41">
        <f>IF((ROW()-3)&lt;=('首頁'!$B$8*12),C275+D275,"")</f>
      </c>
      <c r="C275" s="42">
        <f>IF((ROW()-3)&lt;=('首頁'!$B$8*12),G275*'首頁'!$B$7/12/100,"")</f>
      </c>
      <c r="D275" s="42">
        <f>IF((ROW()-3)&lt;=('首頁'!$B$8*12),IF(ROW()-3=('首頁'!$B$8*12),G275,MIN(G275,'首頁'!$B$6/('首頁'!$B$8*12))),"")</f>
      </c>
      <c r="E275" s="42">
        <f>IF((ROW()-3)&lt;=('首頁'!$B$8*12),G275-D275,"")</f>
      </c>
      <c r="G275" s="39">
        <f>IF((ROW()-3)&lt;=('首頁'!$B$8*12),E274,"")</f>
      </c>
    </row>
    <row r="276" ht="22" customHeight="1" spans="1:7" x14ac:dyDescent="0.25">
      <c r="A276" s="36">
        <f>IF((ROW()-3)&lt;=('首頁'!$B$8*12),ROW()-3,"")</f>
      </c>
      <c r="B276" s="37">
        <f>IF((ROW()-3)&lt;=('首頁'!$B$8*12),C276+D276,"")</f>
      </c>
      <c r="C276" s="38">
        <f>IF((ROW()-3)&lt;=('首頁'!$B$8*12),G276*'首頁'!$B$7/12/100,"")</f>
      </c>
      <c r="D276" s="38">
        <f>IF((ROW()-3)&lt;=('首頁'!$B$8*12),IF(ROW()-3=('首頁'!$B$8*12),G276,MIN(G276,'首頁'!$B$6/('首頁'!$B$8*12))),"")</f>
      </c>
      <c r="E276" s="38">
        <f>IF((ROW()-3)&lt;=('首頁'!$B$8*12),G276-D276,"")</f>
      </c>
      <c r="G276" s="39">
        <f>IF((ROW()-3)&lt;=('首頁'!$B$8*12),E275,"")</f>
      </c>
    </row>
    <row r="277" ht="22" customHeight="1" spans="1:7" x14ac:dyDescent="0.25">
      <c r="A277" s="40">
        <f>IF((ROW()-3)&lt;=('首頁'!$B$8*12),ROW()-3,"")</f>
      </c>
      <c r="B277" s="41">
        <f>IF((ROW()-3)&lt;=('首頁'!$B$8*12),C277+D277,"")</f>
      </c>
      <c r="C277" s="42">
        <f>IF((ROW()-3)&lt;=('首頁'!$B$8*12),G277*'首頁'!$B$7/12/100,"")</f>
      </c>
      <c r="D277" s="42">
        <f>IF((ROW()-3)&lt;=('首頁'!$B$8*12),IF(ROW()-3=('首頁'!$B$8*12),G277,MIN(G277,'首頁'!$B$6/('首頁'!$B$8*12))),"")</f>
      </c>
      <c r="E277" s="42">
        <f>IF((ROW()-3)&lt;=('首頁'!$B$8*12),G277-D277,"")</f>
      </c>
      <c r="G277" s="39">
        <f>IF((ROW()-3)&lt;=('首頁'!$B$8*12),E276,"")</f>
      </c>
    </row>
    <row r="278" ht="22" customHeight="1" spans="1:7" x14ac:dyDescent="0.25">
      <c r="A278" s="36">
        <f>IF((ROW()-3)&lt;=('首頁'!$B$8*12),ROW()-3,"")</f>
      </c>
      <c r="B278" s="37">
        <f>IF((ROW()-3)&lt;=('首頁'!$B$8*12),C278+D278,"")</f>
      </c>
      <c r="C278" s="38">
        <f>IF((ROW()-3)&lt;=('首頁'!$B$8*12),G278*'首頁'!$B$7/12/100,"")</f>
      </c>
      <c r="D278" s="38">
        <f>IF((ROW()-3)&lt;=('首頁'!$B$8*12),IF(ROW()-3=('首頁'!$B$8*12),G278,MIN(G278,'首頁'!$B$6/('首頁'!$B$8*12))),"")</f>
      </c>
      <c r="E278" s="38">
        <f>IF((ROW()-3)&lt;=('首頁'!$B$8*12),G278-D278,"")</f>
      </c>
      <c r="G278" s="39">
        <f>IF((ROW()-3)&lt;=('首頁'!$B$8*12),E277,"")</f>
      </c>
    </row>
    <row r="279" ht="22" customHeight="1" spans="1:7" x14ac:dyDescent="0.25">
      <c r="A279" s="40">
        <f>IF((ROW()-3)&lt;=('首頁'!$B$8*12),ROW()-3,"")</f>
      </c>
      <c r="B279" s="41">
        <f>IF((ROW()-3)&lt;=('首頁'!$B$8*12),C279+D279,"")</f>
      </c>
      <c r="C279" s="42">
        <f>IF((ROW()-3)&lt;=('首頁'!$B$8*12),G279*'首頁'!$B$7/12/100,"")</f>
      </c>
      <c r="D279" s="42">
        <f>IF((ROW()-3)&lt;=('首頁'!$B$8*12),IF(ROW()-3=('首頁'!$B$8*12),G279,MIN(G279,'首頁'!$B$6/('首頁'!$B$8*12))),"")</f>
      </c>
      <c r="E279" s="42">
        <f>IF((ROW()-3)&lt;=('首頁'!$B$8*12),G279-D279,"")</f>
      </c>
      <c r="G279" s="39">
        <f>IF((ROW()-3)&lt;=('首頁'!$B$8*12),E278,"")</f>
      </c>
    </row>
    <row r="280" ht="22" customHeight="1" spans="1:7" x14ac:dyDescent="0.25">
      <c r="A280" s="36">
        <f>IF((ROW()-3)&lt;=('首頁'!$B$8*12),ROW()-3,"")</f>
      </c>
      <c r="B280" s="37">
        <f>IF((ROW()-3)&lt;=('首頁'!$B$8*12),C280+D280,"")</f>
      </c>
      <c r="C280" s="38">
        <f>IF((ROW()-3)&lt;=('首頁'!$B$8*12),G280*'首頁'!$B$7/12/100,"")</f>
      </c>
      <c r="D280" s="38">
        <f>IF((ROW()-3)&lt;=('首頁'!$B$8*12),IF(ROW()-3=('首頁'!$B$8*12),G280,MIN(G280,'首頁'!$B$6/('首頁'!$B$8*12))),"")</f>
      </c>
      <c r="E280" s="38">
        <f>IF((ROW()-3)&lt;=('首頁'!$B$8*12),G280-D280,"")</f>
      </c>
      <c r="G280" s="39">
        <f>IF((ROW()-3)&lt;=('首頁'!$B$8*12),E279,"")</f>
      </c>
    </row>
    <row r="281" ht="22" customHeight="1" spans="1:7" x14ac:dyDescent="0.25">
      <c r="A281" s="40">
        <f>IF((ROW()-3)&lt;=('首頁'!$B$8*12),ROW()-3,"")</f>
      </c>
      <c r="B281" s="41">
        <f>IF((ROW()-3)&lt;=('首頁'!$B$8*12),C281+D281,"")</f>
      </c>
      <c r="C281" s="42">
        <f>IF((ROW()-3)&lt;=('首頁'!$B$8*12),G281*'首頁'!$B$7/12/100,"")</f>
      </c>
      <c r="D281" s="42">
        <f>IF((ROW()-3)&lt;=('首頁'!$B$8*12),IF(ROW()-3=('首頁'!$B$8*12),G281,MIN(G281,'首頁'!$B$6/('首頁'!$B$8*12))),"")</f>
      </c>
      <c r="E281" s="42">
        <f>IF((ROW()-3)&lt;=('首頁'!$B$8*12),G281-D281,"")</f>
      </c>
      <c r="G281" s="39">
        <f>IF((ROW()-3)&lt;=('首頁'!$B$8*12),E280,"")</f>
      </c>
    </row>
    <row r="282" ht="22" customHeight="1" spans="1:7" x14ac:dyDescent="0.25">
      <c r="A282" s="36">
        <f>IF((ROW()-3)&lt;=('首頁'!$B$8*12),ROW()-3,"")</f>
      </c>
      <c r="B282" s="37">
        <f>IF((ROW()-3)&lt;=('首頁'!$B$8*12),C282+D282,"")</f>
      </c>
      <c r="C282" s="38">
        <f>IF((ROW()-3)&lt;=('首頁'!$B$8*12),G282*'首頁'!$B$7/12/100,"")</f>
      </c>
      <c r="D282" s="38">
        <f>IF((ROW()-3)&lt;=('首頁'!$B$8*12),IF(ROW()-3=('首頁'!$B$8*12),G282,MIN(G282,'首頁'!$B$6/('首頁'!$B$8*12))),"")</f>
      </c>
      <c r="E282" s="38">
        <f>IF((ROW()-3)&lt;=('首頁'!$B$8*12),G282-D282,"")</f>
      </c>
      <c r="G282" s="39">
        <f>IF((ROW()-3)&lt;=('首頁'!$B$8*12),E281,"")</f>
      </c>
    </row>
    <row r="283" ht="22" customHeight="1" spans="1:7" x14ac:dyDescent="0.25">
      <c r="A283" s="40">
        <f>IF((ROW()-3)&lt;=('首頁'!$B$8*12),ROW()-3,"")</f>
      </c>
      <c r="B283" s="41">
        <f>IF((ROW()-3)&lt;=('首頁'!$B$8*12),C283+D283,"")</f>
      </c>
      <c r="C283" s="42">
        <f>IF((ROW()-3)&lt;=('首頁'!$B$8*12),G283*'首頁'!$B$7/12/100,"")</f>
      </c>
      <c r="D283" s="42">
        <f>IF((ROW()-3)&lt;=('首頁'!$B$8*12),IF(ROW()-3=('首頁'!$B$8*12),G283,MIN(G283,'首頁'!$B$6/('首頁'!$B$8*12))),"")</f>
      </c>
      <c r="E283" s="42">
        <f>IF((ROW()-3)&lt;=('首頁'!$B$8*12),G283-D283,"")</f>
      </c>
      <c r="G283" s="39">
        <f>IF((ROW()-3)&lt;=('首頁'!$B$8*12),E282,"")</f>
      </c>
    </row>
    <row r="284" ht="22" customHeight="1" spans="1:7" x14ac:dyDescent="0.25">
      <c r="A284" s="36">
        <f>IF((ROW()-3)&lt;=('首頁'!$B$8*12),ROW()-3,"")</f>
      </c>
      <c r="B284" s="37">
        <f>IF((ROW()-3)&lt;=('首頁'!$B$8*12),C284+D284,"")</f>
      </c>
      <c r="C284" s="38">
        <f>IF((ROW()-3)&lt;=('首頁'!$B$8*12),G284*'首頁'!$B$7/12/100,"")</f>
      </c>
      <c r="D284" s="38">
        <f>IF((ROW()-3)&lt;=('首頁'!$B$8*12),IF(ROW()-3=('首頁'!$B$8*12),G284,MIN(G284,'首頁'!$B$6/('首頁'!$B$8*12))),"")</f>
      </c>
      <c r="E284" s="38">
        <f>IF((ROW()-3)&lt;=('首頁'!$B$8*12),G284-D284,"")</f>
      </c>
      <c r="G284" s="39">
        <f>IF((ROW()-3)&lt;=('首頁'!$B$8*12),E283,"")</f>
      </c>
    </row>
    <row r="285" ht="22" customHeight="1" spans="1:7" x14ac:dyDescent="0.25">
      <c r="A285" s="40">
        <f>IF((ROW()-3)&lt;=('首頁'!$B$8*12),ROW()-3,"")</f>
      </c>
      <c r="B285" s="41">
        <f>IF((ROW()-3)&lt;=('首頁'!$B$8*12),C285+D285,"")</f>
      </c>
      <c r="C285" s="42">
        <f>IF((ROW()-3)&lt;=('首頁'!$B$8*12),G285*'首頁'!$B$7/12/100,"")</f>
      </c>
      <c r="D285" s="42">
        <f>IF((ROW()-3)&lt;=('首頁'!$B$8*12),IF(ROW()-3=('首頁'!$B$8*12),G285,MIN(G285,'首頁'!$B$6/('首頁'!$B$8*12))),"")</f>
      </c>
      <c r="E285" s="42">
        <f>IF((ROW()-3)&lt;=('首頁'!$B$8*12),G285-D285,"")</f>
      </c>
      <c r="G285" s="39">
        <f>IF((ROW()-3)&lt;=('首頁'!$B$8*12),E284,"")</f>
      </c>
    </row>
    <row r="286" ht="22" customHeight="1" spans="1:7" x14ac:dyDescent="0.25">
      <c r="A286" s="36">
        <f>IF((ROW()-3)&lt;=('首頁'!$B$8*12),ROW()-3,"")</f>
      </c>
      <c r="B286" s="37">
        <f>IF((ROW()-3)&lt;=('首頁'!$B$8*12),C286+D286,"")</f>
      </c>
      <c r="C286" s="38">
        <f>IF((ROW()-3)&lt;=('首頁'!$B$8*12),G286*'首頁'!$B$7/12/100,"")</f>
      </c>
      <c r="D286" s="38">
        <f>IF((ROW()-3)&lt;=('首頁'!$B$8*12),IF(ROW()-3=('首頁'!$B$8*12),G286,MIN(G286,'首頁'!$B$6/('首頁'!$B$8*12))),"")</f>
      </c>
      <c r="E286" s="38">
        <f>IF((ROW()-3)&lt;=('首頁'!$B$8*12),G286-D286,"")</f>
      </c>
      <c r="G286" s="39">
        <f>IF((ROW()-3)&lt;=('首頁'!$B$8*12),E285,"")</f>
      </c>
    </row>
    <row r="287" ht="22" customHeight="1" spans="1:7" x14ac:dyDescent="0.25">
      <c r="A287" s="40">
        <f>IF((ROW()-3)&lt;=('首頁'!$B$8*12),ROW()-3,"")</f>
      </c>
      <c r="B287" s="41">
        <f>IF((ROW()-3)&lt;=('首頁'!$B$8*12),C287+D287,"")</f>
      </c>
      <c r="C287" s="42">
        <f>IF((ROW()-3)&lt;=('首頁'!$B$8*12),G287*'首頁'!$B$7/12/100,"")</f>
      </c>
      <c r="D287" s="42">
        <f>IF((ROW()-3)&lt;=('首頁'!$B$8*12),IF(ROW()-3=('首頁'!$B$8*12),G287,MIN(G287,'首頁'!$B$6/('首頁'!$B$8*12))),"")</f>
      </c>
      <c r="E287" s="42">
        <f>IF((ROW()-3)&lt;=('首頁'!$B$8*12),G287-D287,"")</f>
      </c>
      <c r="G287" s="39">
        <f>IF((ROW()-3)&lt;=('首頁'!$B$8*12),E286,"")</f>
      </c>
    </row>
    <row r="288" ht="22" customHeight="1" spans="1:7" x14ac:dyDescent="0.25">
      <c r="A288" s="36">
        <f>IF((ROW()-3)&lt;=('首頁'!$B$8*12),ROW()-3,"")</f>
      </c>
      <c r="B288" s="37">
        <f>IF((ROW()-3)&lt;=('首頁'!$B$8*12),C288+D288,"")</f>
      </c>
      <c r="C288" s="38">
        <f>IF((ROW()-3)&lt;=('首頁'!$B$8*12),G288*'首頁'!$B$7/12/100,"")</f>
      </c>
      <c r="D288" s="38">
        <f>IF((ROW()-3)&lt;=('首頁'!$B$8*12),IF(ROW()-3=('首頁'!$B$8*12),G288,MIN(G288,'首頁'!$B$6/('首頁'!$B$8*12))),"")</f>
      </c>
      <c r="E288" s="38">
        <f>IF((ROW()-3)&lt;=('首頁'!$B$8*12),G288-D288,"")</f>
      </c>
      <c r="G288" s="39">
        <f>IF((ROW()-3)&lt;=('首頁'!$B$8*12),E287,"")</f>
      </c>
    </row>
    <row r="289" ht="22" customHeight="1" spans="1:7" x14ac:dyDescent="0.25">
      <c r="A289" s="40">
        <f>IF((ROW()-3)&lt;=('首頁'!$B$8*12),ROW()-3,"")</f>
      </c>
      <c r="B289" s="41">
        <f>IF((ROW()-3)&lt;=('首頁'!$B$8*12),C289+D289,"")</f>
      </c>
      <c r="C289" s="42">
        <f>IF((ROW()-3)&lt;=('首頁'!$B$8*12),G289*'首頁'!$B$7/12/100,"")</f>
      </c>
      <c r="D289" s="42">
        <f>IF((ROW()-3)&lt;=('首頁'!$B$8*12),IF(ROW()-3=('首頁'!$B$8*12),G289,MIN(G289,'首頁'!$B$6/('首頁'!$B$8*12))),"")</f>
      </c>
      <c r="E289" s="42">
        <f>IF((ROW()-3)&lt;=('首頁'!$B$8*12),G289-D289,"")</f>
      </c>
      <c r="G289" s="39">
        <f>IF((ROW()-3)&lt;=('首頁'!$B$8*12),E288,"")</f>
      </c>
    </row>
    <row r="290" ht="22" customHeight="1" spans="1:7" x14ac:dyDescent="0.25">
      <c r="A290" s="36">
        <f>IF((ROW()-3)&lt;=('首頁'!$B$8*12),ROW()-3,"")</f>
      </c>
      <c r="B290" s="37">
        <f>IF((ROW()-3)&lt;=('首頁'!$B$8*12),C290+D290,"")</f>
      </c>
      <c r="C290" s="38">
        <f>IF((ROW()-3)&lt;=('首頁'!$B$8*12),G290*'首頁'!$B$7/12/100,"")</f>
      </c>
      <c r="D290" s="38">
        <f>IF((ROW()-3)&lt;=('首頁'!$B$8*12),IF(ROW()-3=('首頁'!$B$8*12),G290,MIN(G290,'首頁'!$B$6/('首頁'!$B$8*12))),"")</f>
      </c>
      <c r="E290" s="38">
        <f>IF((ROW()-3)&lt;=('首頁'!$B$8*12),G290-D290,"")</f>
      </c>
      <c r="G290" s="39">
        <f>IF((ROW()-3)&lt;=('首頁'!$B$8*12),E289,"")</f>
      </c>
    </row>
    <row r="291" ht="22" customHeight="1" spans="1:7" x14ac:dyDescent="0.25">
      <c r="A291" s="40">
        <f>IF((ROW()-3)&lt;=('首頁'!$B$8*12),ROW()-3,"")</f>
      </c>
      <c r="B291" s="41">
        <f>IF((ROW()-3)&lt;=('首頁'!$B$8*12),C291+D291,"")</f>
      </c>
      <c r="C291" s="42">
        <f>IF((ROW()-3)&lt;=('首頁'!$B$8*12),G291*'首頁'!$B$7/12/100,"")</f>
      </c>
      <c r="D291" s="42">
        <f>IF((ROW()-3)&lt;=('首頁'!$B$8*12),IF(ROW()-3=('首頁'!$B$8*12),G291,MIN(G291,'首頁'!$B$6/('首頁'!$B$8*12))),"")</f>
      </c>
      <c r="E291" s="42">
        <f>IF((ROW()-3)&lt;=('首頁'!$B$8*12),G291-D291,"")</f>
      </c>
      <c r="G291" s="39">
        <f>IF((ROW()-3)&lt;=('首頁'!$B$8*12),E290,"")</f>
      </c>
    </row>
    <row r="292" ht="22" customHeight="1" spans="1:7" x14ac:dyDescent="0.25">
      <c r="A292" s="36">
        <f>IF((ROW()-3)&lt;=('首頁'!$B$8*12),ROW()-3,"")</f>
      </c>
      <c r="B292" s="37">
        <f>IF((ROW()-3)&lt;=('首頁'!$B$8*12),C292+D292,"")</f>
      </c>
      <c r="C292" s="38">
        <f>IF((ROW()-3)&lt;=('首頁'!$B$8*12),G292*'首頁'!$B$7/12/100,"")</f>
      </c>
      <c r="D292" s="38">
        <f>IF((ROW()-3)&lt;=('首頁'!$B$8*12),IF(ROW()-3=('首頁'!$B$8*12),G292,MIN(G292,'首頁'!$B$6/('首頁'!$B$8*12))),"")</f>
      </c>
      <c r="E292" s="38">
        <f>IF((ROW()-3)&lt;=('首頁'!$B$8*12),G292-D292,"")</f>
      </c>
      <c r="G292" s="39">
        <f>IF((ROW()-3)&lt;=('首頁'!$B$8*12),E291,"")</f>
      </c>
    </row>
    <row r="293" ht="22" customHeight="1" spans="1:7" x14ac:dyDescent="0.25">
      <c r="A293" s="40">
        <f>IF((ROW()-3)&lt;=('首頁'!$B$8*12),ROW()-3,"")</f>
      </c>
      <c r="B293" s="41">
        <f>IF((ROW()-3)&lt;=('首頁'!$B$8*12),C293+D293,"")</f>
      </c>
      <c r="C293" s="42">
        <f>IF((ROW()-3)&lt;=('首頁'!$B$8*12),G293*'首頁'!$B$7/12/100,"")</f>
      </c>
      <c r="D293" s="42">
        <f>IF((ROW()-3)&lt;=('首頁'!$B$8*12),IF(ROW()-3=('首頁'!$B$8*12),G293,MIN(G293,'首頁'!$B$6/('首頁'!$B$8*12))),"")</f>
      </c>
      <c r="E293" s="42">
        <f>IF((ROW()-3)&lt;=('首頁'!$B$8*12),G293-D293,"")</f>
      </c>
      <c r="G293" s="39">
        <f>IF((ROW()-3)&lt;=('首頁'!$B$8*12),E292,"")</f>
      </c>
    </row>
    <row r="294" ht="22" customHeight="1" spans="1:7" x14ac:dyDescent="0.25">
      <c r="A294" s="36">
        <f>IF((ROW()-3)&lt;=('首頁'!$B$8*12),ROW()-3,"")</f>
      </c>
      <c r="B294" s="37">
        <f>IF((ROW()-3)&lt;=('首頁'!$B$8*12),C294+D294,"")</f>
      </c>
      <c r="C294" s="38">
        <f>IF((ROW()-3)&lt;=('首頁'!$B$8*12),G294*'首頁'!$B$7/12/100,"")</f>
      </c>
      <c r="D294" s="38">
        <f>IF((ROW()-3)&lt;=('首頁'!$B$8*12),IF(ROW()-3=('首頁'!$B$8*12),G294,MIN(G294,'首頁'!$B$6/('首頁'!$B$8*12))),"")</f>
      </c>
      <c r="E294" s="38">
        <f>IF((ROW()-3)&lt;=('首頁'!$B$8*12),G294-D294,"")</f>
      </c>
      <c r="G294" s="39">
        <f>IF((ROW()-3)&lt;=('首頁'!$B$8*12),E293,"")</f>
      </c>
    </row>
    <row r="295" ht="22" customHeight="1" spans="1:7" x14ac:dyDescent="0.25">
      <c r="A295" s="40">
        <f>IF((ROW()-3)&lt;=('首頁'!$B$8*12),ROW()-3,"")</f>
      </c>
      <c r="B295" s="41">
        <f>IF((ROW()-3)&lt;=('首頁'!$B$8*12),C295+D295,"")</f>
      </c>
      <c r="C295" s="42">
        <f>IF((ROW()-3)&lt;=('首頁'!$B$8*12),G295*'首頁'!$B$7/12/100,"")</f>
      </c>
      <c r="D295" s="42">
        <f>IF((ROW()-3)&lt;=('首頁'!$B$8*12),IF(ROW()-3=('首頁'!$B$8*12),G295,MIN(G295,'首頁'!$B$6/('首頁'!$B$8*12))),"")</f>
      </c>
      <c r="E295" s="42">
        <f>IF((ROW()-3)&lt;=('首頁'!$B$8*12),G295-D295,"")</f>
      </c>
      <c r="G295" s="39">
        <f>IF((ROW()-3)&lt;=('首頁'!$B$8*12),E294,"")</f>
      </c>
    </row>
    <row r="296" ht="22" customHeight="1" spans="1:7" x14ac:dyDescent="0.25">
      <c r="A296" s="36">
        <f>IF((ROW()-3)&lt;=('首頁'!$B$8*12),ROW()-3,"")</f>
      </c>
      <c r="B296" s="37">
        <f>IF((ROW()-3)&lt;=('首頁'!$B$8*12),C296+D296,"")</f>
      </c>
      <c r="C296" s="38">
        <f>IF((ROW()-3)&lt;=('首頁'!$B$8*12),G296*'首頁'!$B$7/12/100,"")</f>
      </c>
      <c r="D296" s="38">
        <f>IF((ROW()-3)&lt;=('首頁'!$B$8*12),IF(ROW()-3=('首頁'!$B$8*12),G296,MIN(G296,'首頁'!$B$6/('首頁'!$B$8*12))),"")</f>
      </c>
      <c r="E296" s="38">
        <f>IF((ROW()-3)&lt;=('首頁'!$B$8*12),G296-D296,"")</f>
      </c>
      <c r="G296" s="39">
        <f>IF((ROW()-3)&lt;=('首頁'!$B$8*12),E295,"")</f>
      </c>
    </row>
    <row r="297" ht="22" customHeight="1" spans="1:7" x14ac:dyDescent="0.25">
      <c r="A297" s="40">
        <f>IF((ROW()-3)&lt;=('首頁'!$B$8*12),ROW()-3,"")</f>
      </c>
      <c r="B297" s="41">
        <f>IF((ROW()-3)&lt;=('首頁'!$B$8*12),C297+D297,"")</f>
      </c>
      <c r="C297" s="42">
        <f>IF((ROW()-3)&lt;=('首頁'!$B$8*12),G297*'首頁'!$B$7/12/100,"")</f>
      </c>
      <c r="D297" s="42">
        <f>IF((ROW()-3)&lt;=('首頁'!$B$8*12),IF(ROW()-3=('首頁'!$B$8*12),G297,MIN(G297,'首頁'!$B$6/('首頁'!$B$8*12))),"")</f>
      </c>
      <c r="E297" s="42">
        <f>IF((ROW()-3)&lt;=('首頁'!$B$8*12),G297-D297,"")</f>
      </c>
      <c r="G297" s="39">
        <f>IF((ROW()-3)&lt;=('首頁'!$B$8*12),E296,"")</f>
      </c>
    </row>
    <row r="298" ht="22" customHeight="1" spans="1:7" x14ac:dyDescent="0.25">
      <c r="A298" s="36">
        <f>IF((ROW()-3)&lt;=('首頁'!$B$8*12),ROW()-3,"")</f>
      </c>
      <c r="B298" s="37">
        <f>IF((ROW()-3)&lt;=('首頁'!$B$8*12),C298+D298,"")</f>
      </c>
      <c r="C298" s="38">
        <f>IF((ROW()-3)&lt;=('首頁'!$B$8*12),G298*'首頁'!$B$7/12/100,"")</f>
      </c>
      <c r="D298" s="38">
        <f>IF((ROW()-3)&lt;=('首頁'!$B$8*12),IF(ROW()-3=('首頁'!$B$8*12),G298,MIN(G298,'首頁'!$B$6/('首頁'!$B$8*12))),"")</f>
      </c>
      <c r="E298" s="38">
        <f>IF((ROW()-3)&lt;=('首頁'!$B$8*12),G298-D298,"")</f>
      </c>
      <c r="G298" s="39">
        <f>IF((ROW()-3)&lt;=('首頁'!$B$8*12),E297,"")</f>
      </c>
    </row>
    <row r="299" ht="22" customHeight="1" spans="1:7" x14ac:dyDescent="0.25">
      <c r="A299" s="40">
        <f>IF((ROW()-3)&lt;=('首頁'!$B$8*12),ROW()-3,"")</f>
      </c>
      <c r="B299" s="41">
        <f>IF((ROW()-3)&lt;=('首頁'!$B$8*12),C299+D299,"")</f>
      </c>
      <c r="C299" s="42">
        <f>IF((ROW()-3)&lt;=('首頁'!$B$8*12),G299*'首頁'!$B$7/12/100,"")</f>
      </c>
      <c r="D299" s="42">
        <f>IF((ROW()-3)&lt;=('首頁'!$B$8*12),IF(ROW()-3=('首頁'!$B$8*12),G299,MIN(G299,'首頁'!$B$6/('首頁'!$B$8*12))),"")</f>
      </c>
      <c r="E299" s="42">
        <f>IF((ROW()-3)&lt;=('首頁'!$B$8*12),G299-D299,"")</f>
      </c>
      <c r="G299" s="39">
        <f>IF((ROW()-3)&lt;=('首頁'!$B$8*12),E298,"")</f>
      </c>
    </row>
    <row r="300" ht="22" customHeight="1" spans="1:7" x14ac:dyDescent="0.25">
      <c r="A300" s="36">
        <f>IF((ROW()-3)&lt;=('首頁'!$B$8*12),ROW()-3,"")</f>
      </c>
      <c r="B300" s="37">
        <f>IF((ROW()-3)&lt;=('首頁'!$B$8*12),C300+D300,"")</f>
      </c>
      <c r="C300" s="38">
        <f>IF((ROW()-3)&lt;=('首頁'!$B$8*12),G300*'首頁'!$B$7/12/100,"")</f>
      </c>
      <c r="D300" s="38">
        <f>IF((ROW()-3)&lt;=('首頁'!$B$8*12),IF(ROW()-3=('首頁'!$B$8*12),G300,MIN(G300,'首頁'!$B$6/('首頁'!$B$8*12))),"")</f>
      </c>
      <c r="E300" s="38">
        <f>IF((ROW()-3)&lt;=('首頁'!$B$8*12),G300-D300,"")</f>
      </c>
      <c r="G300" s="39">
        <f>IF((ROW()-3)&lt;=('首頁'!$B$8*12),E299,"")</f>
      </c>
    </row>
    <row r="301" ht="22" customHeight="1" spans="1:7" x14ac:dyDescent="0.25">
      <c r="A301" s="40">
        <f>IF((ROW()-3)&lt;=('首頁'!$B$8*12),ROW()-3,"")</f>
      </c>
      <c r="B301" s="41">
        <f>IF((ROW()-3)&lt;=('首頁'!$B$8*12),C301+D301,"")</f>
      </c>
      <c r="C301" s="42">
        <f>IF((ROW()-3)&lt;=('首頁'!$B$8*12),G301*'首頁'!$B$7/12/100,"")</f>
      </c>
      <c r="D301" s="42">
        <f>IF((ROW()-3)&lt;=('首頁'!$B$8*12),IF(ROW()-3=('首頁'!$B$8*12),G301,MIN(G301,'首頁'!$B$6/('首頁'!$B$8*12))),"")</f>
      </c>
      <c r="E301" s="42">
        <f>IF((ROW()-3)&lt;=('首頁'!$B$8*12),G301-D301,"")</f>
      </c>
      <c r="G301" s="39">
        <f>IF((ROW()-3)&lt;=('首頁'!$B$8*12),E300,"")</f>
      </c>
    </row>
    <row r="302" ht="22" customHeight="1" spans="1:7" x14ac:dyDescent="0.25">
      <c r="A302" s="36">
        <f>IF((ROW()-3)&lt;=('首頁'!$B$8*12),ROW()-3,"")</f>
      </c>
      <c r="B302" s="37">
        <f>IF((ROW()-3)&lt;=('首頁'!$B$8*12),C302+D302,"")</f>
      </c>
      <c r="C302" s="38">
        <f>IF((ROW()-3)&lt;=('首頁'!$B$8*12),G302*'首頁'!$B$7/12/100,"")</f>
      </c>
      <c r="D302" s="38">
        <f>IF((ROW()-3)&lt;=('首頁'!$B$8*12),IF(ROW()-3=('首頁'!$B$8*12),G302,MIN(G302,'首頁'!$B$6/('首頁'!$B$8*12))),"")</f>
      </c>
      <c r="E302" s="38">
        <f>IF((ROW()-3)&lt;=('首頁'!$B$8*12),G302-D302,"")</f>
      </c>
      <c r="G302" s="39">
        <f>IF((ROW()-3)&lt;=('首頁'!$B$8*12),E301,"")</f>
      </c>
    </row>
    <row r="303" ht="22" customHeight="1" spans="1:7" x14ac:dyDescent="0.25">
      <c r="A303" s="40">
        <f>IF((ROW()-3)&lt;=('首頁'!$B$8*12),ROW()-3,"")</f>
      </c>
      <c r="B303" s="41">
        <f>IF((ROW()-3)&lt;=('首頁'!$B$8*12),C303+D303,"")</f>
      </c>
      <c r="C303" s="42">
        <f>IF((ROW()-3)&lt;=('首頁'!$B$8*12),G303*'首頁'!$B$7/12/100,"")</f>
      </c>
      <c r="D303" s="42">
        <f>IF((ROW()-3)&lt;=('首頁'!$B$8*12),IF(ROW()-3=('首頁'!$B$8*12),G303,MIN(G303,'首頁'!$B$6/('首頁'!$B$8*12))),"")</f>
      </c>
      <c r="E303" s="42">
        <f>IF((ROW()-3)&lt;=('首頁'!$B$8*12),G303-D303,"")</f>
      </c>
      <c r="G303" s="39">
        <f>IF((ROW()-3)&lt;=('首頁'!$B$8*12),E302,"")</f>
      </c>
    </row>
    <row r="304" ht="22" customHeight="1" spans="1:7" x14ac:dyDescent="0.25">
      <c r="A304" s="36">
        <f>IF((ROW()-3)&lt;=('首頁'!$B$8*12),ROW()-3,"")</f>
      </c>
      <c r="B304" s="37">
        <f>IF((ROW()-3)&lt;=('首頁'!$B$8*12),C304+D304,"")</f>
      </c>
      <c r="C304" s="38">
        <f>IF((ROW()-3)&lt;=('首頁'!$B$8*12),G304*'首頁'!$B$7/12/100,"")</f>
      </c>
      <c r="D304" s="38">
        <f>IF((ROW()-3)&lt;=('首頁'!$B$8*12),IF(ROW()-3=('首頁'!$B$8*12),G304,MIN(G304,'首頁'!$B$6/('首頁'!$B$8*12))),"")</f>
      </c>
      <c r="E304" s="38">
        <f>IF((ROW()-3)&lt;=('首頁'!$B$8*12),G304-D304,"")</f>
      </c>
      <c r="G304" s="39">
        <f>IF((ROW()-3)&lt;=('首頁'!$B$8*12),E303,"")</f>
      </c>
    </row>
    <row r="305" ht="22" customHeight="1" spans="1:7" x14ac:dyDescent="0.25">
      <c r="A305" s="40">
        <f>IF((ROW()-3)&lt;=('首頁'!$B$8*12),ROW()-3,"")</f>
      </c>
      <c r="B305" s="41">
        <f>IF((ROW()-3)&lt;=('首頁'!$B$8*12),C305+D305,"")</f>
      </c>
      <c r="C305" s="42">
        <f>IF((ROW()-3)&lt;=('首頁'!$B$8*12),G305*'首頁'!$B$7/12/100,"")</f>
      </c>
      <c r="D305" s="42">
        <f>IF((ROW()-3)&lt;=('首頁'!$B$8*12),IF(ROW()-3=('首頁'!$B$8*12),G305,MIN(G305,'首頁'!$B$6/('首頁'!$B$8*12))),"")</f>
      </c>
      <c r="E305" s="42">
        <f>IF((ROW()-3)&lt;=('首頁'!$B$8*12),G305-D305,"")</f>
      </c>
      <c r="G305" s="39">
        <f>IF((ROW()-3)&lt;=('首頁'!$B$8*12),E304,"")</f>
      </c>
    </row>
    <row r="306" ht="22" customHeight="1" spans="1:7" x14ac:dyDescent="0.25">
      <c r="A306" s="36">
        <f>IF((ROW()-3)&lt;=('首頁'!$B$8*12),ROW()-3,"")</f>
      </c>
      <c r="B306" s="37">
        <f>IF((ROW()-3)&lt;=('首頁'!$B$8*12),C306+D306,"")</f>
      </c>
      <c r="C306" s="38">
        <f>IF((ROW()-3)&lt;=('首頁'!$B$8*12),G306*'首頁'!$B$7/12/100,"")</f>
      </c>
      <c r="D306" s="38">
        <f>IF((ROW()-3)&lt;=('首頁'!$B$8*12),IF(ROW()-3=('首頁'!$B$8*12),G306,MIN(G306,'首頁'!$B$6/('首頁'!$B$8*12))),"")</f>
      </c>
      <c r="E306" s="38">
        <f>IF((ROW()-3)&lt;=('首頁'!$B$8*12),G306-D306,"")</f>
      </c>
      <c r="G306" s="39">
        <f>IF((ROW()-3)&lt;=('首頁'!$B$8*12),E305,"")</f>
      </c>
    </row>
    <row r="307" ht="22" customHeight="1" spans="1:7" x14ac:dyDescent="0.25">
      <c r="A307" s="40">
        <f>IF((ROW()-3)&lt;=('首頁'!$B$8*12),ROW()-3,"")</f>
      </c>
      <c r="B307" s="41">
        <f>IF((ROW()-3)&lt;=('首頁'!$B$8*12),C307+D307,"")</f>
      </c>
      <c r="C307" s="42">
        <f>IF((ROW()-3)&lt;=('首頁'!$B$8*12),G307*'首頁'!$B$7/12/100,"")</f>
      </c>
      <c r="D307" s="42">
        <f>IF((ROW()-3)&lt;=('首頁'!$B$8*12),IF(ROW()-3=('首頁'!$B$8*12),G307,MIN(G307,'首頁'!$B$6/('首頁'!$B$8*12))),"")</f>
      </c>
      <c r="E307" s="42">
        <f>IF((ROW()-3)&lt;=('首頁'!$B$8*12),G307-D307,"")</f>
      </c>
      <c r="G307" s="39">
        <f>IF((ROW()-3)&lt;=('首頁'!$B$8*12),E306,"")</f>
      </c>
    </row>
    <row r="308" ht="22" customHeight="1" spans="1:7" x14ac:dyDescent="0.25">
      <c r="A308" s="36">
        <f>IF((ROW()-3)&lt;=('首頁'!$B$8*12),ROW()-3,"")</f>
      </c>
      <c r="B308" s="37">
        <f>IF((ROW()-3)&lt;=('首頁'!$B$8*12),C308+D308,"")</f>
      </c>
      <c r="C308" s="38">
        <f>IF((ROW()-3)&lt;=('首頁'!$B$8*12),G308*'首頁'!$B$7/12/100,"")</f>
      </c>
      <c r="D308" s="38">
        <f>IF((ROW()-3)&lt;=('首頁'!$B$8*12),IF(ROW()-3=('首頁'!$B$8*12),G308,MIN(G308,'首頁'!$B$6/('首頁'!$B$8*12))),"")</f>
      </c>
      <c r="E308" s="38">
        <f>IF((ROW()-3)&lt;=('首頁'!$B$8*12),G308-D308,"")</f>
      </c>
      <c r="G308" s="39">
        <f>IF((ROW()-3)&lt;=('首頁'!$B$8*12),E307,"")</f>
      </c>
    </row>
    <row r="309" ht="22" customHeight="1" spans="1:7" x14ac:dyDescent="0.25">
      <c r="A309" s="40">
        <f>IF((ROW()-3)&lt;=('首頁'!$B$8*12),ROW()-3,"")</f>
      </c>
      <c r="B309" s="41">
        <f>IF((ROW()-3)&lt;=('首頁'!$B$8*12),C309+D309,"")</f>
      </c>
      <c r="C309" s="42">
        <f>IF((ROW()-3)&lt;=('首頁'!$B$8*12),G309*'首頁'!$B$7/12/100,"")</f>
      </c>
      <c r="D309" s="42">
        <f>IF((ROW()-3)&lt;=('首頁'!$B$8*12),IF(ROW()-3=('首頁'!$B$8*12),G309,MIN(G309,'首頁'!$B$6/('首頁'!$B$8*12))),"")</f>
      </c>
      <c r="E309" s="42">
        <f>IF((ROW()-3)&lt;=('首頁'!$B$8*12),G309-D309,"")</f>
      </c>
      <c r="G309" s="39">
        <f>IF((ROW()-3)&lt;=('首頁'!$B$8*12),E308,"")</f>
      </c>
    </row>
    <row r="310" ht="22" customHeight="1" spans="1:7" x14ac:dyDescent="0.25">
      <c r="A310" s="36">
        <f>IF((ROW()-3)&lt;=('首頁'!$B$8*12),ROW()-3,"")</f>
      </c>
      <c r="B310" s="37">
        <f>IF((ROW()-3)&lt;=('首頁'!$B$8*12),C310+D310,"")</f>
      </c>
      <c r="C310" s="38">
        <f>IF((ROW()-3)&lt;=('首頁'!$B$8*12),G310*'首頁'!$B$7/12/100,"")</f>
      </c>
      <c r="D310" s="38">
        <f>IF((ROW()-3)&lt;=('首頁'!$B$8*12),IF(ROW()-3=('首頁'!$B$8*12),G310,MIN(G310,'首頁'!$B$6/('首頁'!$B$8*12))),"")</f>
      </c>
      <c r="E310" s="38">
        <f>IF((ROW()-3)&lt;=('首頁'!$B$8*12),G310-D310,"")</f>
      </c>
      <c r="G310" s="39">
        <f>IF((ROW()-3)&lt;=('首頁'!$B$8*12),E309,"")</f>
      </c>
    </row>
    <row r="311" ht="22" customHeight="1" spans="1:7" x14ac:dyDescent="0.25">
      <c r="A311" s="40">
        <f>IF((ROW()-3)&lt;=('首頁'!$B$8*12),ROW()-3,"")</f>
      </c>
      <c r="B311" s="41">
        <f>IF((ROW()-3)&lt;=('首頁'!$B$8*12),C311+D311,"")</f>
      </c>
      <c r="C311" s="42">
        <f>IF((ROW()-3)&lt;=('首頁'!$B$8*12),G311*'首頁'!$B$7/12/100,"")</f>
      </c>
      <c r="D311" s="42">
        <f>IF((ROW()-3)&lt;=('首頁'!$B$8*12),IF(ROW()-3=('首頁'!$B$8*12),G311,MIN(G311,'首頁'!$B$6/('首頁'!$B$8*12))),"")</f>
      </c>
      <c r="E311" s="42">
        <f>IF((ROW()-3)&lt;=('首頁'!$B$8*12),G311-D311,"")</f>
      </c>
      <c r="G311" s="39">
        <f>IF((ROW()-3)&lt;=('首頁'!$B$8*12),E310,"")</f>
      </c>
    </row>
    <row r="312" ht="22" customHeight="1" spans="1:7" x14ac:dyDescent="0.25">
      <c r="A312" s="36">
        <f>IF((ROW()-3)&lt;=('首頁'!$B$8*12),ROW()-3,"")</f>
      </c>
      <c r="B312" s="37">
        <f>IF((ROW()-3)&lt;=('首頁'!$B$8*12),C312+D312,"")</f>
      </c>
      <c r="C312" s="38">
        <f>IF((ROW()-3)&lt;=('首頁'!$B$8*12),G312*'首頁'!$B$7/12/100,"")</f>
      </c>
      <c r="D312" s="38">
        <f>IF((ROW()-3)&lt;=('首頁'!$B$8*12),IF(ROW()-3=('首頁'!$B$8*12),G312,MIN(G312,'首頁'!$B$6/('首頁'!$B$8*12))),"")</f>
      </c>
      <c r="E312" s="38">
        <f>IF((ROW()-3)&lt;=('首頁'!$B$8*12),G312-D312,"")</f>
      </c>
      <c r="G312" s="39">
        <f>IF((ROW()-3)&lt;=('首頁'!$B$8*12),E311,"")</f>
      </c>
    </row>
    <row r="313" ht="22" customHeight="1" spans="1:7" x14ac:dyDescent="0.25">
      <c r="A313" s="40">
        <f>IF((ROW()-3)&lt;=('首頁'!$B$8*12),ROW()-3,"")</f>
      </c>
      <c r="B313" s="41">
        <f>IF((ROW()-3)&lt;=('首頁'!$B$8*12),C313+D313,"")</f>
      </c>
      <c r="C313" s="42">
        <f>IF((ROW()-3)&lt;=('首頁'!$B$8*12),G313*'首頁'!$B$7/12/100,"")</f>
      </c>
      <c r="D313" s="42">
        <f>IF((ROW()-3)&lt;=('首頁'!$B$8*12),IF(ROW()-3=('首頁'!$B$8*12),G313,MIN(G313,'首頁'!$B$6/('首頁'!$B$8*12))),"")</f>
      </c>
      <c r="E313" s="42">
        <f>IF((ROW()-3)&lt;=('首頁'!$B$8*12),G313-D313,"")</f>
      </c>
      <c r="G313" s="39">
        <f>IF((ROW()-3)&lt;=('首頁'!$B$8*12),E312,"")</f>
      </c>
    </row>
    <row r="314" ht="22" customHeight="1" spans="1:7" x14ac:dyDescent="0.25">
      <c r="A314" s="36">
        <f>IF((ROW()-3)&lt;=('首頁'!$B$8*12),ROW()-3,"")</f>
      </c>
      <c r="B314" s="37">
        <f>IF((ROW()-3)&lt;=('首頁'!$B$8*12),C314+D314,"")</f>
      </c>
      <c r="C314" s="38">
        <f>IF((ROW()-3)&lt;=('首頁'!$B$8*12),G314*'首頁'!$B$7/12/100,"")</f>
      </c>
      <c r="D314" s="38">
        <f>IF((ROW()-3)&lt;=('首頁'!$B$8*12),IF(ROW()-3=('首頁'!$B$8*12),G314,MIN(G314,'首頁'!$B$6/('首頁'!$B$8*12))),"")</f>
      </c>
      <c r="E314" s="38">
        <f>IF((ROW()-3)&lt;=('首頁'!$B$8*12),G314-D314,"")</f>
      </c>
      <c r="G314" s="39">
        <f>IF((ROW()-3)&lt;=('首頁'!$B$8*12),E313,"")</f>
      </c>
    </row>
    <row r="315" ht="22" customHeight="1" spans="1:7" x14ac:dyDescent="0.25">
      <c r="A315" s="40">
        <f>IF((ROW()-3)&lt;=('首頁'!$B$8*12),ROW()-3,"")</f>
      </c>
      <c r="B315" s="41">
        <f>IF((ROW()-3)&lt;=('首頁'!$B$8*12),C315+D315,"")</f>
      </c>
      <c r="C315" s="42">
        <f>IF((ROW()-3)&lt;=('首頁'!$B$8*12),G315*'首頁'!$B$7/12/100,"")</f>
      </c>
      <c r="D315" s="42">
        <f>IF((ROW()-3)&lt;=('首頁'!$B$8*12),IF(ROW()-3=('首頁'!$B$8*12),G315,MIN(G315,'首頁'!$B$6/('首頁'!$B$8*12))),"")</f>
      </c>
      <c r="E315" s="42">
        <f>IF((ROW()-3)&lt;=('首頁'!$B$8*12),G315-D315,"")</f>
      </c>
      <c r="G315" s="39">
        <f>IF((ROW()-3)&lt;=('首頁'!$B$8*12),E314,"")</f>
      </c>
    </row>
    <row r="316" ht="22" customHeight="1" spans="1:7" x14ac:dyDescent="0.25">
      <c r="A316" s="36">
        <f>IF((ROW()-3)&lt;=('首頁'!$B$8*12),ROW()-3,"")</f>
      </c>
      <c r="B316" s="37">
        <f>IF((ROW()-3)&lt;=('首頁'!$B$8*12),C316+D316,"")</f>
      </c>
      <c r="C316" s="38">
        <f>IF((ROW()-3)&lt;=('首頁'!$B$8*12),G316*'首頁'!$B$7/12/100,"")</f>
      </c>
      <c r="D316" s="38">
        <f>IF((ROW()-3)&lt;=('首頁'!$B$8*12),IF(ROW()-3=('首頁'!$B$8*12),G316,MIN(G316,'首頁'!$B$6/('首頁'!$B$8*12))),"")</f>
      </c>
      <c r="E316" s="38">
        <f>IF((ROW()-3)&lt;=('首頁'!$B$8*12),G316-D316,"")</f>
      </c>
      <c r="G316" s="39">
        <f>IF((ROW()-3)&lt;=('首頁'!$B$8*12),E315,"")</f>
      </c>
    </row>
    <row r="317" ht="22" customHeight="1" spans="1:7" x14ac:dyDescent="0.25">
      <c r="A317" s="40">
        <f>IF((ROW()-3)&lt;=('首頁'!$B$8*12),ROW()-3,"")</f>
      </c>
      <c r="B317" s="41">
        <f>IF((ROW()-3)&lt;=('首頁'!$B$8*12),C317+D317,"")</f>
      </c>
      <c r="C317" s="42">
        <f>IF((ROW()-3)&lt;=('首頁'!$B$8*12),G317*'首頁'!$B$7/12/100,"")</f>
      </c>
      <c r="D317" s="42">
        <f>IF((ROW()-3)&lt;=('首頁'!$B$8*12),IF(ROW()-3=('首頁'!$B$8*12),G317,MIN(G317,'首頁'!$B$6/('首頁'!$B$8*12))),"")</f>
      </c>
      <c r="E317" s="42">
        <f>IF((ROW()-3)&lt;=('首頁'!$B$8*12),G317-D317,"")</f>
      </c>
      <c r="G317" s="39">
        <f>IF((ROW()-3)&lt;=('首頁'!$B$8*12),E316,"")</f>
      </c>
    </row>
    <row r="318" ht="22" customHeight="1" spans="1:7" x14ac:dyDescent="0.25">
      <c r="A318" s="36">
        <f>IF((ROW()-3)&lt;=('首頁'!$B$8*12),ROW()-3,"")</f>
      </c>
      <c r="B318" s="37">
        <f>IF((ROW()-3)&lt;=('首頁'!$B$8*12),C318+D318,"")</f>
      </c>
      <c r="C318" s="38">
        <f>IF((ROW()-3)&lt;=('首頁'!$B$8*12),G318*'首頁'!$B$7/12/100,"")</f>
      </c>
      <c r="D318" s="38">
        <f>IF((ROW()-3)&lt;=('首頁'!$B$8*12),IF(ROW()-3=('首頁'!$B$8*12),G318,MIN(G318,'首頁'!$B$6/('首頁'!$B$8*12))),"")</f>
      </c>
      <c r="E318" s="38">
        <f>IF((ROW()-3)&lt;=('首頁'!$B$8*12),G318-D318,"")</f>
      </c>
      <c r="G318" s="39">
        <f>IF((ROW()-3)&lt;=('首頁'!$B$8*12),E317,"")</f>
      </c>
    </row>
    <row r="319" ht="22" customHeight="1" spans="1:7" x14ac:dyDescent="0.25">
      <c r="A319" s="40">
        <f>IF((ROW()-3)&lt;=('首頁'!$B$8*12),ROW()-3,"")</f>
      </c>
      <c r="B319" s="41">
        <f>IF((ROW()-3)&lt;=('首頁'!$B$8*12),C319+D319,"")</f>
      </c>
      <c r="C319" s="42">
        <f>IF((ROW()-3)&lt;=('首頁'!$B$8*12),G319*'首頁'!$B$7/12/100,"")</f>
      </c>
      <c r="D319" s="42">
        <f>IF((ROW()-3)&lt;=('首頁'!$B$8*12),IF(ROW()-3=('首頁'!$B$8*12),G319,MIN(G319,'首頁'!$B$6/('首頁'!$B$8*12))),"")</f>
      </c>
      <c r="E319" s="42">
        <f>IF((ROW()-3)&lt;=('首頁'!$B$8*12),G319-D319,"")</f>
      </c>
      <c r="G319" s="39">
        <f>IF((ROW()-3)&lt;=('首頁'!$B$8*12),E318,"")</f>
      </c>
    </row>
    <row r="320" ht="22" customHeight="1" spans="1:7" x14ac:dyDescent="0.25">
      <c r="A320" s="36">
        <f>IF((ROW()-3)&lt;=('首頁'!$B$8*12),ROW()-3,"")</f>
      </c>
      <c r="B320" s="37">
        <f>IF((ROW()-3)&lt;=('首頁'!$B$8*12),C320+D320,"")</f>
      </c>
      <c r="C320" s="38">
        <f>IF((ROW()-3)&lt;=('首頁'!$B$8*12),G320*'首頁'!$B$7/12/100,"")</f>
      </c>
      <c r="D320" s="38">
        <f>IF((ROW()-3)&lt;=('首頁'!$B$8*12),IF(ROW()-3=('首頁'!$B$8*12),G320,MIN(G320,'首頁'!$B$6/('首頁'!$B$8*12))),"")</f>
      </c>
      <c r="E320" s="38">
        <f>IF((ROW()-3)&lt;=('首頁'!$B$8*12),G320-D320,"")</f>
      </c>
      <c r="G320" s="39">
        <f>IF((ROW()-3)&lt;=('首頁'!$B$8*12),E319,"")</f>
      </c>
    </row>
    <row r="321" ht="22" customHeight="1" spans="1:7" x14ac:dyDescent="0.25">
      <c r="A321" s="40">
        <f>IF((ROW()-3)&lt;=('首頁'!$B$8*12),ROW()-3,"")</f>
      </c>
      <c r="B321" s="41">
        <f>IF((ROW()-3)&lt;=('首頁'!$B$8*12),C321+D321,"")</f>
      </c>
      <c r="C321" s="42">
        <f>IF((ROW()-3)&lt;=('首頁'!$B$8*12),G321*'首頁'!$B$7/12/100,"")</f>
      </c>
      <c r="D321" s="42">
        <f>IF((ROW()-3)&lt;=('首頁'!$B$8*12),IF(ROW()-3=('首頁'!$B$8*12),G321,MIN(G321,'首頁'!$B$6/('首頁'!$B$8*12))),"")</f>
      </c>
      <c r="E321" s="42">
        <f>IF((ROW()-3)&lt;=('首頁'!$B$8*12),G321-D321,"")</f>
      </c>
      <c r="G321" s="39">
        <f>IF((ROW()-3)&lt;=('首頁'!$B$8*12),E320,"")</f>
      </c>
    </row>
    <row r="322" ht="22" customHeight="1" spans="1:7" x14ac:dyDescent="0.25">
      <c r="A322" s="36">
        <f>IF((ROW()-3)&lt;=('首頁'!$B$8*12),ROW()-3,"")</f>
      </c>
      <c r="B322" s="37">
        <f>IF((ROW()-3)&lt;=('首頁'!$B$8*12),C322+D322,"")</f>
      </c>
      <c r="C322" s="38">
        <f>IF((ROW()-3)&lt;=('首頁'!$B$8*12),G322*'首頁'!$B$7/12/100,"")</f>
      </c>
      <c r="D322" s="38">
        <f>IF((ROW()-3)&lt;=('首頁'!$B$8*12),IF(ROW()-3=('首頁'!$B$8*12),G322,MIN(G322,'首頁'!$B$6/('首頁'!$B$8*12))),"")</f>
      </c>
      <c r="E322" s="38">
        <f>IF((ROW()-3)&lt;=('首頁'!$B$8*12),G322-D322,"")</f>
      </c>
      <c r="G322" s="39">
        <f>IF((ROW()-3)&lt;=('首頁'!$B$8*12),E321,"")</f>
      </c>
    </row>
    <row r="323" ht="22" customHeight="1" spans="1:7" x14ac:dyDescent="0.25">
      <c r="A323" s="40">
        <f>IF((ROW()-3)&lt;=('首頁'!$B$8*12),ROW()-3,"")</f>
      </c>
      <c r="B323" s="41">
        <f>IF((ROW()-3)&lt;=('首頁'!$B$8*12),C323+D323,"")</f>
      </c>
      <c r="C323" s="42">
        <f>IF((ROW()-3)&lt;=('首頁'!$B$8*12),G323*'首頁'!$B$7/12/100,"")</f>
      </c>
      <c r="D323" s="42">
        <f>IF((ROW()-3)&lt;=('首頁'!$B$8*12),IF(ROW()-3=('首頁'!$B$8*12),G323,MIN(G323,'首頁'!$B$6/('首頁'!$B$8*12))),"")</f>
      </c>
      <c r="E323" s="42">
        <f>IF((ROW()-3)&lt;=('首頁'!$B$8*12),G323-D323,"")</f>
      </c>
      <c r="G323" s="39">
        <f>IF((ROW()-3)&lt;=('首頁'!$B$8*12),E322,"")</f>
      </c>
    </row>
    <row r="324" ht="22" customHeight="1" spans="1:7" x14ac:dyDescent="0.25">
      <c r="A324" s="36">
        <f>IF((ROW()-3)&lt;=('首頁'!$B$8*12),ROW()-3,"")</f>
      </c>
      <c r="B324" s="37">
        <f>IF((ROW()-3)&lt;=('首頁'!$B$8*12),C324+D324,"")</f>
      </c>
      <c r="C324" s="38">
        <f>IF((ROW()-3)&lt;=('首頁'!$B$8*12),G324*'首頁'!$B$7/12/100,"")</f>
      </c>
      <c r="D324" s="38">
        <f>IF((ROW()-3)&lt;=('首頁'!$B$8*12),IF(ROW()-3=('首頁'!$B$8*12),G324,MIN(G324,'首頁'!$B$6/('首頁'!$B$8*12))),"")</f>
      </c>
      <c r="E324" s="38">
        <f>IF((ROW()-3)&lt;=('首頁'!$B$8*12),G324-D324,"")</f>
      </c>
      <c r="G324" s="39">
        <f>IF((ROW()-3)&lt;=('首頁'!$B$8*12),E323,"")</f>
      </c>
    </row>
    <row r="325" ht="22" customHeight="1" spans="1:7" x14ac:dyDescent="0.25">
      <c r="A325" s="40">
        <f>IF((ROW()-3)&lt;=('首頁'!$B$8*12),ROW()-3,"")</f>
      </c>
      <c r="B325" s="41">
        <f>IF((ROW()-3)&lt;=('首頁'!$B$8*12),C325+D325,"")</f>
      </c>
      <c r="C325" s="42">
        <f>IF((ROW()-3)&lt;=('首頁'!$B$8*12),G325*'首頁'!$B$7/12/100,"")</f>
      </c>
      <c r="D325" s="42">
        <f>IF((ROW()-3)&lt;=('首頁'!$B$8*12),IF(ROW()-3=('首頁'!$B$8*12),G325,MIN(G325,'首頁'!$B$6/('首頁'!$B$8*12))),"")</f>
      </c>
      <c r="E325" s="42">
        <f>IF((ROW()-3)&lt;=('首頁'!$B$8*12),G325-D325,"")</f>
      </c>
      <c r="G325" s="39">
        <f>IF((ROW()-3)&lt;=('首頁'!$B$8*12),E324,"")</f>
      </c>
    </row>
    <row r="326" ht="22" customHeight="1" spans="1:7" x14ac:dyDescent="0.25">
      <c r="A326" s="36">
        <f>IF((ROW()-3)&lt;=('首頁'!$B$8*12),ROW()-3,"")</f>
      </c>
      <c r="B326" s="37">
        <f>IF((ROW()-3)&lt;=('首頁'!$B$8*12),C326+D326,"")</f>
      </c>
      <c r="C326" s="38">
        <f>IF((ROW()-3)&lt;=('首頁'!$B$8*12),G326*'首頁'!$B$7/12/100,"")</f>
      </c>
      <c r="D326" s="38">
        <f>IF((ROW()-3)&lt;=('首頁'!$B$8*12),IF(ROW()-3=('首頁'!$B$8*12),G326,MIN(G326,'首頁'!$B$6/('首頁'!$B$8*12))),"")</f>
      </c>
      <c r="E326" s="38">
        <f>IF((ROW()-3)&lt;=('首頁'!$B$8*12),G326-D326,"")</f>
      </c>
      <c r="G326" s="39">
        <f>IF((ROW()-3)&lt;=('首頁'!$B$8*12),E325,"")</f>
      </c>
    </row>
    <row r="327" ht="22" customHeight="1" spans="1:7" x14ac:dyDescent="0.25">
      <c r="A327" s="40">
        <f>IF((ROW()-3)&lt;=('首頁'!$B$8*12),ROW()-3,"")</f>
      </c>
      <c r="B327" s="41">
        <f>IF((ROW()-3)&lt;=('首頁'!$B$8*12),C327+D327,"")</f>
      </c>
      <c r="C327" s="42">
        <f>IF((ROW()-3)&lt;=('首頁'!$B$8*12),G327*'首頁'!$B$7/12/100,"")</f>
      </c>
      <c r="D327" s="42">
        <f>IF((ROW()-3)&lt;=('首頁'!$B$8*12),IF(ROW()-3=('首頁'!$B$8*12),G327,MIN(G327,'首頁'!$B$6/('首頁'!$B$8*12))),"")</f>
      </c>
      <c r="E327" s="42">
        <f>IF((ROW()-3)&lt;=('首頁'!$B$8*12),G327-D327,"")</f>
      </c>
      <c r="G327" s="39">
        <f>IF((ROW()-3)&lt;=('首頁'!$B$8*12),E326,"")</f>
      </c>
    </row>
    <row r="328" ht="22" customHeight="1" spans="1:7" x14ac:dyDescent="0.25">
      <c r="A328" s="36">
        <f>IF((ROW()-3)&lt;=('首頁'!$B$8*12),ROW()-3,"")</f>
      </c>
      <c r="B328" s="37">
        <f>IF((ROW()-3)&lt;=('首頁'!$B$8*12),C328+D328,"")</f>
      </c>
      <c r="C328" s="38">
        <f>IF((ROW()-3)&lt;=('首頁'!$B$8*12),G328*'首頁'!$B$7/12/100,"")</f>
      </c>
      <c r="D328" s="38">
        <f>IF((ROW()-3)&lt;=('首頁'!$B$8*12),IF(ROW()-3=('首頁'!$B$8*12),G328,MIN(G328,'首頁'!$B$6/('首頁'!$B$8*12))),"")</f>
      </c>
      <c r="E328" s="38">
        <f>IF((ROW()-3)&lt;=('首頁'!$B$8*12),G328-D328,"")</f>
      </c>
      <c r="G328" s="39">
        <f>IF((ROW()-3)&lt;=('首頁'!$B$8*12),E327,"")</f>
      </c>
    </row>
    <row r="329" ht="22" customHeight="1" spans="1:7" x14ac:dyDescent="0.25">
      <c r="A329" s="40">
        <f>IF((ROW()-3)&lt;=('首頁'!$B$8*12),ROW()-3,"")</f>
      </c>
      <c r="B329" s="41">
        <f>IF((ROW()-3)&lt;=('首頁'!$B$8*12),C329+D329,"")</f>
      </c>
      <c r="C329" s="42">
        <f>IF((ROW()-3)&lt;=('首頁'!$B$8*12),G329*'首頁'!$B$7/12/100,"")</f>
      </c>
      <c r="D329" s="42">
        <f>IF((ROW()-3)&lt;=('首頁'!$B$8*12),IF(ROW()-3=('首頁'!$B$8*12),G329,MIN(G329,'首頁'!$B$6/('首頁'!$B$8*12))),"")</f>
      </c>
      <c r="E329" s="42">
        <f>IF((ROW()-3)&lt;=('首頁'!$B$8*12),G329-D329,"")</f>
      </c>
      <c r="G329" s="39">
        <f>IF((ROW()-3)&lt;=('首頁'!$B$8*12),E328,"")</f>
      </c>
    </row>
    <row r="330" ht="22" customHeight="1" spans="1:7" x14ac:dyDescent="0.25">
      <c r="A330" s="36">
        <f>IF((ROW()-3)&lt;=('首頁'!$B$8*12),ROW()-3,"")</f>
      </c>
      <c r="B330" s="37">
        <f>IF((ROW()-3)&lt;=('首頁'!$B$8*12),C330+D330,"")</f>
      </c>
      <c r="C330" s="38">
        <f>IF((ROW()-3)&lt;=('首頁'!$B$8*12),G330*'首頁'!$B$7/12/100,"")</f>
      </c>
      <c r="D330" s="38">
        <f>IF((ROW()-3)&lt;=('首頁'!$B$8*12),IF(ROW()-3=('首頁'!$B$8*12),G330,MIN(G330,'首頁'!$B$6/('首頁'!$B$8*12))),"")</f>
      </c>
      <c r="E330" s="38">
        <f>IF((ROW()-3)&lt;=('首頁'!$B$8*12),G330-D330,"")</f>
      </c>
      <c r="G330" s="39">
        <f>IF((ROW()-3)&lt;=('首頁'!$B$8*12),E329,"")</f>
      </c>
    </row>
    <row r="331" ht="22" customHeight="1" spans="1:7" x14ac:dyDescent="0.25">
      <c r="A331" s="40">
        <f>IF((ROW()-3)&lt;=('首頁'!$B$8*12),ROW()-3,"")</f>
      </c>
      <c r="B331" s="41">
        <f>IF((ROW()-3)&lt;=('首頁'!$B$8*12),C331+D331,"")</f>
      </c>
      <c r="C331" s="42">
        <f>IF((ROW()-3)&lt;=('首頁'!$B$8*12),G331*'首頁'!$B$7/12/100,"")</f>
      </c>
      <c r="D331" s="42">
        <f>IF((ROW()-3)&lt;=('首頁'!$B$8*12),IF(ROW()-3=('首頁'!$B$8*12),G331,MIN(G331,'首頁'!$B$6/('首頁'!$B$8*12))),"")</f>
      </c>
      <c r="E331" s="42">
        <f>IF((ROW()-3)&lt;=('首頁'!$B$8*12),G331-D331,"")</f>
      </c>
      <c r="G331" s="39">
        <f>IF((ROW()-3)&lt;=('首頁'!$B$8*12),E330,"")</f>
      </c>
    </row>
    <row r="332" ht="22" customHeight="1" spans="1:7" x14ac:dyDescent="0.25">
      <c r="A332" s="36">
        <f>IF((ROW()-3)&lt;=('首頁'!$B$8*12),ROW()-3,"")</f>
      </c>
      <c r="B332" s="37">
        <f>IF((ROW()-3)&lt;=('首頁'!$B$8*12),C332+D332,"")</f>
      </c>
      <c r="C332" s="38">
        <f>IF((ROW()-3)&lt;=('首頁'!$B$8*12),G332*'首頁'!$B$7/12/100,"")</f>
      </c>
      <c r="D332" s="38">
        <f>IF((ROW()-3)&lt;=('首頁'!$B$8*12),IF(ROW()-3=('首頁'!$B$8*12),G332,MIN(G332,'首頁'!$B$6/('首頁'!$B$8*12))),"")</f>
      </c>
      <c r="E332" s="38">
        <f>IF((ROW()-3)&lt;=('首頁'!$B$8*12),G332-D332,"")</f>
      </c>
      <c r="G332" s="39">
        <f>IF((ROW()-3)&lt;=('首頁'!$B$8*12),E331,"")</f>
      </c>
    </row>
    <row r="333" ht="22" customHeight="1" spans="1:7" x14ac:dyDescent="0.25">
      <c r="A333" s="40">
        <f>IF((ROW()-3)&lt;=('首頁'!$B$8*12),ROW()-3,"")</f>
      </c>
      <c r="B333" s="41">
        <f>IF((ROW()-3)&lt;=('首頁'!$B$8*12),C333+D333,"")</f>
      </c>
      <c r="C333" s="42">
        <f>IF((ROW()-3)&lt;=('首頁'!$B$8*12),G333*'首頁'!$B$7/12/100,"")</f>
      </c>
      <c r="D333" s="42">
        <f>IF((ROW()-3)&lt;=('首頁'!$B$8*12),IF(ROW()-3=('首頁'!$B$8*12),G333,MIN(G333,'首頁'!$B$6/('首頁'!$B$8*12))),"")</f>
      </c>
      <c r="E333" s="42">
        <f>IF((ROW()-3)&lt;=('首頁'!$B$8*12),G333-D333,"")</f>
      </c>
      <c r="G333" s="39">
        <f>IF((ROW()-3)&lt;=('首頁'!$B$8*12),E332,"")</f>
      </c>
    </row>
    <row r="334" ht="22" customHeight="1" spans="1:7" x14ac:dyDescent="0.25">
      <c r="A334" s="36">
        <f>IF((ROW()-3)&lt;=('首頁'!$B$8*12),ROW()-3,"")</f>
      </c>
      <c r="B334" s="37">
        <f>IF((ROW()-3)&lt;=('首頁'!$B$8*12),C334+D334,"")</f>
      </c>
      <c r="C334" s="38">
        <f>IF((ROW()-3)&lt;=('首頁'!$B$8*12),G334*'首頁'!$B$7/12/100,"")</f>
      </c>
      <c r="D334" s="38">
        <f>IF((ROW()-3)&lt;=('首頁'!$B$8*12),IF(ROW()-3=('首頁'!$B$8*12),G334,MIN(G334,'首頁'!$B$6/('首頁'!$B$8*12))),"")</f>
      </c>
      <c r="E334" s="38">
        <f>IF((ROW()-3)&lt;=('首頁'!$B$8*12),G334-D334,"")</f>
      </c>
      <c r="G334" s="39">
        <f>IF((ROW()-3)&lt;=('首頁'!$B$8*12),E333,"")</f>
      </c>
    </row>
    <row r="335" ht="22" customHeight="1" spans="1:7" x14ac:dyDescent="0.25">
      <c r="A335" s="40">
        <f>IF((ROW()-3)&lt;=('首頁'!$B$8*12),ROW()-3,"")</f>
      </c>
      <c r="B335" s="41">
        <f>IF((ROW()-3)&lt;=('首頁'!$B$8*12),C335+D335,"")</f>
      </c>
      <c r="C335" s="42">
        <f>IF((ROW()-3)&lt;=('首頁'!$B$8*12),G335*'首頁'!$B$7/12/100,"")</f>
      </c>
      <c r="D335" s="42">
        <f>IF((ROW()-3)&lt;=('首頁'!$B$8*12),IF(ROW()-3=('首頁'!$B$8*12),G335,MIN(G335,'首頁'!$B$6/('首頁'!$B$8*12))),"")</f>
      </c>
      <c r="E335" s="42">
        <f>IF((ROW()-3)&lt;=('首頁'!$B$8*12),G335-D335,"")</f>
      </c>
      <c r="G335" s="39">
        <f>IF((ROW()-3)&lt;=('首頁'!$B$8*12),E334,"")</f>
      </c>
    </row>
    <row r="336" ht="22" customHeight="1" spans="1:7" x14ac:dyDescent="0.25">
      <c r="A336" s="36">
        <f>IF((ROW()-3)&lt;=('首頁'!$B$8*12),ROW()-3,"")</f>
      </c>
      <c r="B336" s="37">
        <f>IF((ROW()-3)&lt;=('首頁'!$B$8*12),C336+D336,"")</f>
      </c>
      <c r="C336" s="38">
        <f>IF((ROW()-3)&lt;=('首頁'!$B$8*12),G336*'首頁'!$B$7/12/100,"")</f>
      </c>
      <c r="D336" s="38">
        <f>IF((ROW()-3)&lt;=('首頁'!$B$8*12),IF(ROW()-3=('首頁'!$B$8*12),G336,MIN(G336,'首頁'!$B$6/('首頁'!$B$8*12))),"")</f>
      </c>
      <c r="E336" s="38">
        <f>IF((ROW()-3)&lt;=('首頁'!$B$8*12),G336-D336,"")</f>
      </c>
      <c r="G336" s="39">
        <f>IF((ROW()-3)&lt;=('首頁'!$B$8*12),E335,"")</f>
      </c>
    </row>
    <row r="337" ht="22" customHeight="1" spans="1:7" x14ac:dyDescent="0.25">
      <c r="A337" s="40">
        <f>IF((ROW()-3)&lt;=('首頁'!$B$8*12),ROW()-3,"")</f>
      </c>
      <c r="B337" s="41">
        <f>IF((ROW()-3)&lt;=('首頁'!$B$8*12),C337+D337,"")</f>
      </c>
      <c r="C337" s="42">
        <f>IF((ROW()-3)&lt;=('首頁'!$B$8*12),G337*'首頁'!$B$7/12/100,"")</f>
      </c>
      <c r="D337" s="42">
        <f>IF((ROW()-3)&lt;=('首頁'!$B$8*12),IF(ROW()-3=('首頁'!$B$8*12),G337,MIN(G337,'首頁'!$B$6/('首頁'!$B$8*12))),"")</f>
      </c>
      <c r="E337" s="42">
        <f>IF((ROW()-3)&lt;=('首頁'!$B$8*12),G337-D337,"")</f>
      </c>
      <c r="G337" s="39">
        <f>IF((ROW()-3)&lt;=('首頁'!$B$8*12),E336,"")</f>
      </c>
    </row>
    <row r="338" ht="22" customHeight="1" spans="1:7" x14ac:dyDescent="0.25">
      <c r="A338" s="36">
        <f>IF((ROW()-3)&lt;=('首頁'!$B$8*12),ROW()-3,"")</f>
      </c>
      <c r="B338" s="37">
        <f>IF((ROW()-3)&lt;=('首頁'!$B$8*12),C338+D338,"")</f>
      </c>
      <c r="C338" s="38">
        <f>IF((ROW()-3)&lt;=('首頁'!$B$8*12),G338*'首頁'!$B$7/12/100,"")</f>
      </c>
      <c r="D338" s="38">
        <f>IF((ROW()-3)&lt;=('首頁'!$B$8*12),IF(ROW()-3=('首頁'!$B$8*12),G338,MIN(G338,'首頁'!$B$6/('首頁'!$B$8*12))),"")</f>
      </c>
      <c r="E338" s="38">
        <f>IF((ROW()-3)&lt;=('首頁'!$B$8*12),G338-D338,"")</f>
      </c>
      <c r="G338" s="39">
        <f>IF((ROW()-3)&lt;=('首頁'!$B$8*12),E337,"")</f>
      </c>
    </row>
    <row r="339" ht="22" customHeight="1" spans="1:7" x14ac:dyDescent="0.25">
      <c r="A339" s="40">
        <f>IF((ROW()-3)&lt;=('首頁'!$B$8*12),ROW()-3,"")</f>
      </c>
      <c r="B339" s="41">
        <f>IF((ROW()-3)&lt;=('首頁'!$B$8*12),C339+D339,"")</f>
      </c>
      <c r="C339" s="42">
        <f>IF((ROW()-3)&lt;=('首頁'!$B$8*12),G339*'首頁'!$B$7/12/100,"")</f>
      </c>
      <c r="D339" s="42">
        <f>IF((ROW()-3)&lt;=('首頁'!$B$8*12),IF(ROW()-3=('首頁'!$B$8*12),G339,MIN(G339,'首頁'!$B$6/('首頁'!$B$8*12))),"")</f>
      </c>
      <c r="E339" s="42">
        <f>IF((ROW()-3)&lt;=('首頁'!$B$8*12),G339-D339,"")</f>
      </c>
      <c r="G339" s="39">
        <f>IF((ROW()-3)&lt;=('首頁'!$B$8*12),E338,"")</f>
      </c>
    </row>
    <row r="340" ht="22" customHeight="1" spans="1:7" x14ac:dyDescent="0.25">
      <c r="A340" s="36">
        <f>IF((ROW()-3)&lt;=('首頁'!$B$8*12),ROW()-3,"")</f>
      </c>
      <c r="B340" s="37">
        <f>IF((ROW()-3)&lt;=('首頁'!$B$8*12),C340+D340,"")</f>
      </c>
      <c r="C340" s="38">
        <f>IF((ROW()-3)&lt;=('首頁'!$B$8*12),G340*'首頁'!$B$7/12/100,"")</f>
      </c>
      <c r="D340" s="38">
        <f>IF((ROW()-3)&lt;=('首頁'!$B$8*12),IF(ROW()-3=('首頁'!$B$8*12),G340,MIN(G340,'首頁'!$B$6/('首頁'!$B$8*12))),"")</f>
      </c>
      <c r="E340" s="38">
        <f>IF((ROW()-3)&lt;=('首頁'!$B$8*12),G340-D340,"")</f>
      </c>
      <c r="G340" s="39">
        <f>IF((ROW()-3)&lt;=('首頁'!$B$8*12),E339,"")</f>
      </c>
    </row>
    <row r="341" ht="22" customHeight="1" spans="1:7" x14ac:dyDescent="0.25">
      <c r="A341" s="40">
        <f>IF((ROW()-3)&lt;=('首頁'!$B$8*12),ROW()-3,"")</f>
      </c>
      <c r="B341" s="41">
        <f>IF((ROW()-3)&lt;=('首頁'!$B$8*12),C341+D341,"")</f>
      </c>
      <c r="C341" s="42">
        <f>IF((ROW()-3)&lt;=('首頁'!$B$8*12),G341*'首頁'!$B$7/12/100,"")</f>
      </c>
      <c r="D341" s="42">
        <f>IF((ROW()-3)&lt;=('首頁'!$B$8*12),IF(ROW()-3=('首頁'!$B$8*12),G341,MIN(G341,'首頁'!$B$6/('首頁'!$B$8*12))),"")</f>
      </c>
      <c r="E341" s="42">
        <f>IF((ROW()-3)&lt;=('首頁'!$B$8*12),G341-D341,"")</f>
      </c>
      <c r="G341" s="39">
        <f>IF((ROW()-3)&lt;=('首頁'!$B$8*12),E340,"")</f>
      </c>
    </row>
    <row r="342" ht="22" customHeight="1" spans="1:7" x14ac:dyDescent="0.25">
      <c r="A342" s="36">
        <f>IF((ROW()-3)&lt;=('首頁'!$B$8*12),ROW()-3,"")</f>
      </c>
      <c r="B342" s="37">
        <f>IF((ROW()-3)&lt;=('首頁'!$B$8*12),C342+D342,"")</f>
      </c>
      <c r="C342" s="38">
        <f>IF((ROW()-3)&lt;=('首頁'!$B$8*12),G342*'首頁'!$B$7/12/100,"")</f>
      </c>
      <c r="D342" s="38">
        <f>IF((ROW()-3)&lt;=('首頁'!$B$8*12),IF(ROW()-3=('首頁'!$B$8*12),G342,MIN(G342,'首頁'!$B$6/('首頁'!$B$8*12))),"")</f>
      </c>
      <c r="E342" s="38">
        <f>IF((ROW()-3)&lt;=('首頁'!$B$8*12),G342-D342,"")</f>
      </c>
      <c r="G342" s="39">
        <f>IF((ROW()-3)&lt;=('首頁'!$B$8*12),E341,"")</f>
      </c>
    </row>
    <row r="343" ht="22" customHeight="1" spans="1:7" x14ac:dyDescent="0.25">
      <c r="A343" s="40">
        <f>IF((ROW()-3)&lt;=('首頁'!$B$8*12),ROW()-3,"")</f>
      </c>
      <c r="B343" s="41">
        <f>IF((ROW()-3)&lt;=('首頁'!$B$8*12),C343+D343,"")</f>
      </c>
      <c r="C343" s="42">
        <f>IF((ROW()-3)&lt;=('首頁'!$B$8*12),G343*'首頁'!$B$7/12/100,"")</f>
      </c>
      <c r="D343" s="42">
        <f>IF((ROW()-3)&lt;=('首頁'!$B$8*12),IF(ROW()-3=('首頁'!$B$8*12),G343,MIN(G343,'首頁'!$B$6/('首頁'!$B$8*12))),"")</f>
      </c>
      <c r="E343" s="42">
        <f>IF((ROW()-3)&lt;=('首頁'!$B$8*12),G343-D343,"")</f>
      </c>
      <c r="G343" s="39">
        <f>IF((ROW()-3)&lt;=('首頁'!$B$8*12),E342,"")</f>
      </c>
    </row>
    <row r="344" ht="22" customHeight="1" spans="1:7" x14ac:dyDescent="0.25">
      <c r="A344" s="36">
        <f>IF((ROW()-3)&lt;=('首頁'!$B$8*12),ROW()-3,"")</f>
      </c>
      <c r="B344" s="37">
        <f>IF((ROW()-3)&lt;=('首頁'!$B$8*12),C344+D344,"")</f>
      </c>
      <c r="C344" s="38">
        <f>IF((ROW()-3)&lt;=('首頁'!$B$8*12),G344*'首頁'!$B$7/12/100,"")</f>
      </c>
      <c r="D344" s="38">
        <f>IF((ROW()-3)&lt;=('首頁'!$B$8*12),IF(ROW()-3=('首頁'!$B$8*12),G344,MIN(G344,'首頁'!$B$6/('首頁'!$B$8*12))),"")</f>
      </c>
      <c r="E344" s="38">
        <f>IF((ROW()-3)&lt;=('首頁'!$B$8*12),G344-D344,"")</f>
      </c>
      <c r="G344" s="39">
        <f>IF((ROW()-3)&lt;=('首頁'!$B$8*12),E343,"")</f>
      </c>
    </row>
    <row r="345" ht="22" customHeight="1" spans="1:7" x14ac:dyDescent="0.25">
      <c r="A345" s="40">
        <f>IF((ROW()-3)&lt;=('首頁'!$B$8*12),ROW()-3,"")</f>
      </c>
      <c r="B345" s="41">
        <f>IF((ROW()-3)&lt;=('首頁'!$B$8*12),C345+D345,"")</f>
      </c>
      <c r="C345" s="42">
        <f>IF((ROW()-3)&lt;=('首頁'!$B$8*12),G345*'首頁'!$B$7/12/100,"")</f>
      </c>
      <c r="D345" s="42">
        <f>IF((ROW()-3)&lt;=('首頁'!$B$8*12),IF(ROW()-3=('首頁'!$B$8*12),G345,MIN(G345,'首頁'!$B$6/('首頁'!$B$8*12))),"")</f>
      </c>
      <c r="E345" s="42">
        <f>IF((ROW()-3)&lt;=('首頁'!$B$8*12),G345-D345,"")</f>
      </c>
      <c r="G345" s="39">
        <f>IF((ROW()-3)&lt;=('首頁'!$B$8*12),E344,"")</f>
      </c>
    </row>
    <row r="346" ht="22" customHeight="1" spans="1:7" x14ac:dyDescent="0.25">
      <c r="A346" s="36">
        <f>IF((ROW()-3)&lt;=('首頁'!$B$8*12),ROW()-3,"")</f>
      </c>
      <c r="B346" s="37">
        <f>IF((ROW()-3)&lt;=('首頁'!$B$8*12),C346+D346,"")</f>
      </c>
      <c r="C346" s="38">
        <f>IF((ROW()-3)&lt;=('首頁'!$B$8*12),G346*'首頁'!$B$7/12/100,"")</f>
      </c>
      <c r="D346" s="38">
        <f>IF((ROW()-3)&lt;=('首頁'!$B$8*12),IF(ROW()-3=('首頁'!$B$8*12),G346,MIN(G346,'首頁'!$B$6/('首頁'!$B$8*12))),"")</f>
      </c>
      <c r="E346" s="38">
        <f>IF((ROW()-3)&lt;=('首頁'!$B$8*12),G346-D346,"")</f>
      </c>
      <c r="G346" s="39">
        <f>IF((ROW()-3)&lt;=('首頁'!$B$8*12),E345,"")</f>
      </c>
    </row>
    <row r="347" ht="22" customHeight="1" spans="1:7" x14ac:dyDescent="0.25">
      <c r="A347" s="40">
        <f>IF((ROW()-3)&lt;=('首頁'!$B$8*12),ROW()-3,"")</f>
      </c>
      <c r="B347" s="41">
        <f>IF((ROW()-3)&lt;=('首頁'!$B$8*12),C347+D347,"")</f>
      </c>
      <c r="C347" s="42">
        <f>IF((ROW()-3)&lt;=('首頁'!$B$8*12),G347*'首頁'!$B$7/12/100,"")</f>
      </c>
      <c r="D347" s="42">
        <f>IF((ROW()-3)&lt;=('首頁'!$B$8*12),IF(ROW()-3=('首頁'!$B$8*12),G347,MIN(G347,'首頁'!$B$6/('首頁'!$B$8*12))),"")</f>
      </c>
      <c r="E347" s="42">
        <f>IF((ROW()-3)&lt;=('首頁'!$B$8*12),G347-D347,"")</f>
      </c>
      <c r="G347" s="39">
        <f>IF((ROW()-3)&lt;=('首頁'!$B$8*12),E346,"")</f>
      </c>
    </row>
    <row r="348" ht="22" customHeight="1" spans="1:7" x14ac:dyDescent="0.25">
      <c r="A348" s="36">
        <f>IF((ROW()-3)&lt;=('首頁'!$B$8*12),ROW()-3,"")</f>
      </c>
      <c r="B348" s="37">
        <f>IF((ROW()-3)&lt;=('首頁'!$B$8*12),C348+D348,"")</f>
      </c>
      <c r="C348" s="38">
        <f>IF((ROW()-3)&lt;=('首頁'!$B$8*12),G348*'首頁'!$B$7/12/100,"")</f>
      </c>
      <c r="D348" s="38">
        <f>IF((ROW()-3)&lt;=('首頁'!$B$8*12),IF(ROW()-3=('首頁'!$B$8*12),G348,MIN(G348,'首頁'!$B$6/('首頁'!$B$8*12))),"")</f>
      </c>
      <c r="E348" s="38">
        <f>IF((ROW()-3)&lt;=('首頁'!$B$8*12),G348-D348,"")</f>
      </c>
      <c r="G348" s="39">
        <f>IF((ROW()-3)&lt;=('首頁'!$B$8*12),E347,"")</f>
      </c>
    </row>
    <row r="349" ht="22" customHeight="1" spans="1:7" x14ac:dyDescent="0.25">
      <c r="A349" s="40">
        <f>IF((ROW()-3)&lt;=('首頁'!$B$8*12),ROW()-3,"")</f>
      </c>
      <c r="B349" s="41">
        <f>IF((ROW()-3)&lt;=('首頁'!$B$8*12),C349+D349,"")</f>
      </c>
      <c r="C349" s="42">
        <f>IF((ROW()-3)&lt;=('首頁'!$B$8*12),G349*'首頁'!$B$7/12/100,"")</f>
      </c>
      <c r="D349" s="42">
        <f>IF((ROW()-3)&lt;=('首頁'!$B$8*12),IF(ROW()-3=('首頁'!$B$8*12),G349,MIN(G349,'首頁'!$B$6/('首頁'!$B$8*12))),"")</f>
      </c>
      <c r="E349" s="42">
        <f>IF((ROW()-3)&lt;=('首頁'!$B$8*12),G349-D349,"")</f>
      </c>
      <c r="G349" s="39">
        <f>IF((ROW()-3)&lt;=('首頁'!$B$8*12),E348,"")</f>
      </c>
    </row>
    <row r="350" ht="22" customHeight="1" spans="1:7" x14ac:dyDescent="0.25">
      <c r="A350" s="36">
        <f>IF((ROW()-3)&lt;=('首頁'!$B$8*12),ROW()-3,"")</f>
      </c>
      <c r="B350" s="37">
        <f>IF((ROW()-3)&lt;=('首頁'!$B$8*12),C350+D350,"")</f>
      </c>
      <c r="C350" s="38">
        <f>IF((ROW()-3)&lt;=('首頁'!$B$8*12),G350*'首頁'!$B$7/12/100,"")</f>
      </c>
      <c r="D350" s="38">
        <f>IF((ROW()-3)&lt;=('首頁'!$B$8*12),IF(ROW()-3=('首頁'!$B$8*12),G350,MIN(G350,'首頁'!$B$6/('首頁'!$B$8*12))),"")</f>
      </c>
      <c r="E350" s="38">
        <f>IF((ROW()-3)&lt;=('首頁'!$B$8*12),G350-D350,"")</f>
      </c>
      <c r="G350" s="39">
        <f>IF((ROW()-3)&lt;=('首頁'!$B$8*12),E349,"")</f>
      </c>
    </row>
    <row r="351" ht="22" customHeight="1" spans="1:7" x14ac:dyDescent="0.25">
      <c r="A351" s="40">
        <f>IF((ROW()-3)&lt;=('首頁'!$B$8*12),ROW()-3,"")</f>
      </c>
      <c r="B351" s="41">
        <f>IF((ROW()-3)&lt;=('首頁'!$B$8*12),C351+D351,"")</f>
      </c>
      <c r="C351" s="42">
        <f>IF((ROW()-3)&lt;=('首頁'!$B$8*12),G351*'首頁'!$B$7/12/100,"")</f>
      </c>
      <c r="D351" s="42">
        <f>IF((ROW()-3)&lt;=('首頁'!$B$8*12),IF(ROW()-3=('首頁'!$B$8*12),G351,MIN(G351,'首頁'!$B$6/('首頁'!$B$8*12))),"")</f>
      </c>
      <c r="E351" s="42">
        <f>IF((ROW()-3)&lt;=('首頁'!$B$8*12),G351-D351,"")</f>
      </c>
      <c r="G351" s="39">
        <f>IF((ROW()-3)&lt;=('首頁'!$B$8*12),E350,"")</f>
      </c>
    </row>
    <row r="352" ht="22" customHeight="1" spans="1:7" x14ac:dyDescent="0.25">
      <c r="A352" s="36">
        <f>IF((ROW()-3)&lt;=('首頁'!$B$8*12),ROW()-3,"")</f>
      </c>
      <c r="B352" s="37">
        <f>IF((ROW()-3)&lt;=('首頁'!$B$8*12),C352+D352,"")</f>
      </c>
      <c r="C352" s="38">
        <f>IF((ROW()-3)&lt;=('首頁'!$B$8*12),G352*'首頁'!$B$7/12/100,"")</f>
      </c>
      <c r="D352" s="38">
        <f>IF((ROW()-3)&lt;=('首頁'!$B$8*12),IF(ROW()-3=('首頁'!$B$8*12),G352,MIN(G352,'首頁'!$B$6/('首頁'!$B$8*12))),"")</f>
      </c>
      <c r="E352" s="38">
        <f>IF((ROW()-3)&lt;=('首頁'!$B$8*12),G352-D352,"")</f>
      </c>
      <c r="G352" s="39">
        <f>IF((ROW()-3)&lt;=('首頁'!$B$8*12),E351,"")</f>
      </c>
    </row>
    <row r="353" ht="22" customHeight="1" spans="1:7" x14ac:dyDescent="0.25">
      <c r="A353" s="40">
        <f>IF((ROW()-3)&lt;=('首頁'!$B$8*12),ROW()-3,"")</f>
      </c>
      <c r="B353" s="41">
        <f>IF((ROW()-3)&lt;=('首頁'!$B$8*12),C353+D353,"")</f>
      </c>
      <c r="C353" s="42">
        <f>IF((ROW()-3)&lt;=('首頁'!$B$8*12),G353*'首頁'!$B$7/12/100,"")</f>
      </c>
      <c r="D353" s="42">
        <f>IF((ROW()-3)&lt;=('首頁'!$B$8*12),IF(ROW()-3=('首頁'!$B$8*12),G353,MIN(G353,'首頁'!$B$6/('首頁'!$B$8*12))),"")</f>
      </c>
      <c r="E353" s="42">
        <f>IF((ROW()-3)&lt;=('首頁'!$B$8*12),G353-D353,"")</f>
      </c>
      <c r="G353" s="39">
        <f>IF((ROW()-3)&lt;=('首頁'!$B$8*12),E352,"")</f>
      </c>
    </row>
    <row r="354" ht="22" customHeight="1" spans="1:7" x14ac:dyDescent="0.25">
      <c r="A354" s="36">
        <f>IF((ROW()-3)&lt;=('首頁'!$B$8*12),ROW()-3,"")</f>
      </c>
      <c r="B354" s="37">
        <f>IF((ROW()-3)&lt;=('首頁'!$B$8*12),C354+D354,"")</f>
      </c>
      <c r="C354" s="38">
        <f>IF((ROW()-3)&lt;=('首頁'!$B$8*12),G354*'首頁'!$B$7/12/100,"")</f>
      </c>
      <c r="D354" s="38">
        <f>IF((ROW()-3)&lt;=('首頁'!$B$8*12),IF(ROW()-3=('首頁'!$B$8*12),G354,MIN(G354,'首頁'!$B$6/('首頁'!$B$8*12))),"")</f>
      </c>
      <c r="E354" s="38">
        <f>IF((ROW()-3)&lt;=('首頁'!$B$8*12),G354-D354,"")</f>
      </c>
      <c r="G354" s="39">
        <f>IF((ROW()-3)&lt;=('首頁'!$B$8*12),E353,"")</f>
      </c>
    </row>
    <row r="355" ht="22" customHeight="1" spans="1:7" x14ac:dyDescent="0.25">
      <c r="A355" s="40">
        <f>IF((ROW()-3)&lt;=('首頁'!$B$8*12),ROW()-3,"")</f>
      </c>
      <c r="B355" s="41">
        <f>IF((ROW()-3)&lt;=('首頁'!$B$8*12),C355+D355,"")</f>
      </c>
      <c r="C355" s="42">
        <f>IF((ROW()-3)&lt;=('首頁'!$B$8*12),G355*'首頁'!$B$7/12/100,"")</f>
      </c>
      <c r="D355" s="42">
        <f>IF((ROW()-3)&lt;=('首頁'!$B$8*12),IF(ROW()-3=('首頁'!$B$8*12),G355,MIN(G355,'首頁'!$B$6/('首頁'!$B$8*12))),"")</f>
      </c>
      <c r="E355" s="42">
        <f>IF((ROW()-3)&lt;=('首頁'!$B$8*12),G355-D355,"")</f>
      </c>
      <c r="G355" s="39">
        <f>IF((ROW()-3)&lt;=('首頁'!$B$8*12),E354,"")</f>
      </c>
    </row>
    <row r="356" ht="22" customHeight="1" spans="1:7" x14ac:dyDescent="0.25">
      <c r="A356" s="36">
        <f>IF((ROW()-3)&lt;=('首頁'!$B$8*12),ROW()-3,"")</f>
      </c>
      <c r="B356" s="37">
        <f>IF((ROW()-3)&lt;=('首頁'!$B$8*12),C356+D356,"")</f>
      </c>
      <c r="C356" s="38">
        <f>IF((ROW()-3)&lt;=('首頁'!$B$8*12),G356*'首頁'!$B$7/12/100,"")</f>
      </c>
      <c r="D356" s="38">
        <f>IF((ROW()-3)&lt;=('首頁'!$B$8*12),IF(ROW()-3=('首頁'!$B$8*12),G356,MIN(G356,'首頁'!$B$6/('首頁'!$B$8*12))),"")</f>
      </c>
      <c r="E356" s="38">
        <f>IF((ROW()-3)&lt;=('首頁'!$B$8*12),G356-D356,"")</f>
      </c>
      <c r="G356" s="39">
        <f>IF((ROW()-3)&lt;=('首頁'!$B$8*12),E355,"")</f>
      </c>
    </row>
    <row r="357" ht="22" customHeight="1" spans="1:7" x14ac:dyDescent="0.25">
      <c r="A357" s="40">
        <f>IF((ROW()-3)&lt;=('首頁'!$B$8*12),ROW()-3,"")</f>
      </c>
      <c r="B357" s="41">
        <f>IF((ROW()-3)&lt;=('首頁'!$B$8*12),C357+D357,"")</f>
      </c>
      <c r="C357" s="42">
        <f>IF((ROW()-3)&lt;=('首頁'!$B$8*12),G357*'首頁'!$B$7/12/100,"")</f>
      </c>
      <c r="D357" s="42">
        <f>IF((ROW()-3)&lt;=('首頁'!$B$8*12),IF(ROW()-3=('首頁'!$B$8*12),G357,MIN(G357,'首頁'!$B$6/('首頁'!$B$8*12))),"")</f>
      </c>
      <c r="E357" s="42">
        <f>IF((ROW()-3)&lt;=('首頁'!$B$8*12),G357-D357,"")</f>
      </c>
      <c r="G357" s="39">
        <f>IF((ROW()-3)&lt;=('首頁'!$B$8*12),E356,"")</f>
      </c>
    </row>
    <row r="358" ht="22" customHeight="1" spans="1:7" x14ac:dyDescent="0.25">
      <c r="A358" s="36">
        <f>IF((ROW()-3)&lt;=('首頁'!$B$8*12),ROW()-3,"")</f>
      </c>
      <c r="B358" s="37">
        <f>IF((ROW()-3)&lt;=('首頁'!$B$8*12),C358+D358,"")</f>
      </c>
      <c r="C358" s="38">
        <f>IF((ROW()-3)&lt;=('首頁'!$B$8*12),G358*'首頁'!$B$7/12/100,"")</f>
      </c>
      <c r="D358" s="38">
        <f>IF((ROW()-3)&lt;=('首頁'!$B$8*12),IF(ROW()-3=('首頁'!$B$8*12),G358,MIN(G358,'首頁'!$B$6/('首頁'!$B$8*12))),"")</f>
      </c>
      <c r="E358" s="38">
        <f>IF((ROW()-3)&lt;=('首頁'!$B$8*12),G358-D358,"")</f>
      </c>
      <c r="G358" s="39">
        <f>IF((ROW()-3)&lt;=('首頁'!$B$8*12),E357,"")</f>
      </c>
    </row>
    <row r="359" ht="22" customHeight="1" spans="1:7" x14ac:dyDescent="0.25">
      <c r="A359" s="40">
        <f>IF((ROW()-3)&lt;=('首頁'!$B$8*12),ROW()-3,"")</f>
      </c>
      <c r="B359" s="41">
        <f>IF((ROW()-3)&lt;=('首頁'!$B$8*12),C359+D359,"")</f>
      </c>
      <c r="C359" s="42">
        <f>IF((ROW()-3)&lt;=('首頁'!$B$8*12),G359*'首頁'!$B$7/12/100,"")</f>
      </c>
      <c r="D359" s="42">
        <f>IF((ROW()-3)&lt;=('首頁'!$B$8*12),IF(ROW()-3=('首頁'!$B$8*12),G359,MIN(G359,'首頁'!$B$6/('首頁'!$B$8*12))),"")</f>
      </c>
      <c r="E359" s="42">
        <f>IF((ROW()-3)&lt;=('首頁'!$B$8*12),G359-D359,"")</f>
      </c>
      <c r="G359" s="39">
        <f>IF((ROW()-3)&lt;=('首頁'!$B$8*12),E358,"")</f>
      </c>
    </row>
    <row r="360" ht="22" customHeight="1" spans="1:7" x14ac:dyDescent="0.25">
      <c r="A360" s="36">
        <f>IF((ROW()-3)&lt;=('首頁'!$B$8*12),ROW()-3,"")</f>
      </c>
      <c r="B360" s="37">
        <f>IF((ROW()-3)&lt;=('首頁'!$B$8*12),C360+D360,"")</f>
      </c>
      <c r="C360" s="38">
        <f>IF((ROW()-3)&lt;=('首頁'!$B$8*12),G360*'首頁'!$B$7/12/100,"")</f>
      </c>
      <c r="D360" s="38">
        <f>IF((ROW()-3)&lt;=('首頁'!$B$8*12),IF(ROW()-3=('首頁'!$B$8*12),G360,MIN(G360,'首頁'!$B$6/('首頁'!$B$8*12))),"")</f>
      </c>
      <c r="E360" s="38">
        <f>IF((ROW()-3)&lt;=('首頁'!$B$8*12),G360-D360,"")</f>
      </c>
      <c r="G360" s="39">
        <f>IF((ROW()-3)&lt;=('首頁'!$B$8*12),E359,"")</f>
      </c>
    </row>
    <row r="361" ht="22" customHeight="1" spans="1:7" x14ac:dyDescent="0.25">
      <c r="A361" s="40">
        <f>IF((ROW()-3)&lt;=('首頁'!$B$8*12),ROW()-3,"")</f>
      </c>
      <c r="B361" s="41">
        <f>IF((ROW()-3)&lt;=('首頁'!$B$8*12),C361+D361,"")</f>
      </c>
      <c r="C361" s="42">
        <f>IF((ROW()-3)&lt;=('首頁'!$B$8*12),G361*'首頁'!$B$7/12/100,"")</f>
      </c>
      <c r="D361" s="42">
        <f>IF((ROW()-3)&lt;=('首頁'!$B$8*12),IF(ROW()-3=('首頁'!$B$8*12),G361,MIN(G361,'首頁'!$B$6/('首頁'!$B$8*12))),"")</f>
      </c>
      <c r="E361" s="42">
        <f>IF((ROW()-3)&lt;=('首頁'!$B$8*12),G361-D361,"")</f>
      </c>
      <c r="G361" s="39">
        <f>IF((ROW()-3)&lt;=('首頁'!$B$8*12),E360,"")</f>
      </c>
    </row>
    <row r="362" ht="22" customHeight="1" spans="1:7" x14ac:dyDescent="0.25">
      <c r="A362" s="36">
        <f>IF((ROW()-3)&lt;=('首頁'!$B$8*12),ROW()-3,"")</f>
      </c>
      <c r="B362" s="37">
        <f>IF((ROW()-3)&lt;=('首頁'!$B$8*12),C362+D362,"")</f>
      </c>
      <c r="C362" s="38">
        <f>IF((ROW()-3)&lt;=('首頁'!$B$8*12),G362*'首頁'!$B$7/12/100,"")</f>
      </c>
      <c r="D362" s="38">
        <f>IF((ROW()-3)&lt;=('首頁'!$B$8*12),IF(ROW()-3=('首頁'!$B$8*12),G362,MIN(G362,'首頁'!$B$6/('首頁'!$B$8*12))),"")</f>
      </c>
      <c r="E362" s="38">
        <f>IF((ROW()-3)&lt;=('首頁'!$B$8*12),G362-D362,"")</f>
      </c>
      <c r="G362" s="39">
        <f>IF((ROW()-3)&lt;=('首頁'!$B$8*12),E361,"")</f>
      </c>
    </row>
    <row r="363" ht="22" customHeight="1" spans="1:7" x14ac:dyDescent="0.25">
      <c r="A363" s="40">
        <f>IF((ROW()-3)&lt;=('首頁'!$B$8*12),ROW()-3,"")</f>
      </c>
      <c r="B363" s="41">
        <f>IF((ROW()-3)&lt;=('首頁'!$B$8*12),C363+D363,"")</f>
      </c>
      <c r="C363" s="42">
        <f>IF((ROW()-3)&lt;=('首頁'!$B$8*12),G363*'首頁'!$B$7/12/100,"")</f>
      </c>
      <c r="D363" s="42">
        <f>IF((ROW()-3)&lt;=('首頁'!$B$8*12),IF(ROW()-3=('首頁'!$B$8*12),G363,MIN(G363,'首頁'!$B$6/('首頁'!$B$8*12))),"")</f>
      </c>
      <c r="E363" s="42">
        <f>IF((ROW()-3)&lt;=('首頁'!$B$8*12),G363-D363,"")</f>
      </c>
      <c r="G363" s="39">
        <f>IF((ROW()-3)&lt;=('首頁'!$B$8*12),E362,"")</f>
      </c>
    </row>
    <row r="364" ht="22" customHeight="1" spans="1:7" x14ac:dyDescent="0.25">
      <c r="A364" s="36">
        <f>IF((ROW()-3)&lt;=('首頁'!$B$8*12),ROW()-3,"")</f>
      </c>
      <c r="B364" s="37">
        <f>IF((ROW()-3)&lt;=('首頁'!$B$8*12),C364+D364,"")</f>
      </c>
      <c r="C364" s="38">
        <f>IF((ROW()-3)&lt;=('首頁'!$B$8*12),G364*'首頁'!$B$7/12/100,"")</f>
      </c>
      <c r="D364" s="38">
        <f>IF((ROW()-3)&lt;=('首頁'!$B$8*12),IF(ROW()-3=('首頁'!$B$8*12),G364,MIN(G364,'首頁'!$B$6/('首頁'!$B$8*12))),"")</f>
      </c>
      <c r="E364" s="38">
        <f>IF((ROW()-3)&lt;=('首頁'!$B$8*12),G364-D364,"")</f>
      </c>
      <c r="G364" s="39">
        <f>IF((ROW()-3)&lt;=('首頁'!$B$8*12),E363,"")</f>
      </c>
    </row>
    <row r="365" ht="22" customHeight="1" spans="1:7" x14ac:dyDescent="0.25">
      <c r="A365" s="40">
        <f>IF((ROW()-3)&lt;=('首頁'!$B$8*12),ROW()-3,"")</f>
      </c>
      <c r="B365" s="41">
        <f>IF((ROW()-3)&lt;=('首頁'!$B$8*12),C365+D365,"")</f>
      </c>
      <c r="C365" s="42">
        <f>IF((ROW()-3)&lt;=('首頁'!$B$8*12),G365*'首頁'!$B$7/12/100,"")</f>
      </c>
      <c r="D365" s="42">
        <f>IF((ROW()-3)&lt;=('首頁'!$B$8*12),IF(ROW()-3=('首頁'!$B$8*12),G365,MIN(G365,'首頁'!$B$6/('首頁'!$B$8*12))),"")</f>
      </c>
      <c r="E365" s="42">
        <f>IF((ROW()-3)&lt;=('首頁'!$B$8*12),G365-D365,"")</f>
      </c>
      <c r="G365" s="39">
        <f>IF((ROW()-3)&lt;=('首頁'!$B$8*12),E364,"")</f>
      </c>
    </row>
    <row r="366" ht="22" customHeight="1" spans="1:7" x14ac:dyDescent="0.25">
      <c r="A366" s="36">
        <f>IF((ROW()-3)&lt;=('首頁'!$B$8*12),ROW()-3,"")</f>
      </c>
      <c r="B366" s="37">
        <f>IF((ROW()-3)&lt;=('首頁'!$B$8*12),C366+D366,"")</f>
      </c>
      <c r="C366" s="38">
        <f>IF((ROW()-3)&lt;=('首頁'!$B$8*12),G366*'首頁'!$B$7/12/100,"")</f>
      </c>
      <c r="D366" s="38">
        <f>IF((ROW()-3)&lt;=('首頁'!$B$8*12),IF(ROW()-3=('首頁'!$B$8*12),G366,MIN(G366,'首頁'!$B$6/('首頁'!$B$8*12))),"")</f>
      </c>
      <c r="E366" s="38">
        <f>IF((ROW()-3)&lt;=('首頁'!$B$8*12),G366-D366,"")</f>
      </c>
      <c r="G366" s="39">
        <f>IF((ROW()-3)&lt;=('首頁'!$B$8*12),E365,"")</f>
      </c>
    </row>
    <row r="367" ht="22" customHeight="1" spans="1:7" x14ac:dyDescent="0.25">
      <c r="A367" s="40">
        <f>IF((ROW()-3)&lt;=('首頁'!$B$8*12),ROW()-3,"")</f>
      </c>
      <c r="B367" s="41">
        <f>IF((ROW()-3)&lt;=('首頁'!$B$8*12),C367+D367,"")</f>
      </c>
      <c r="C367" s="42">
        <f>IF((ROW()-3)&lt;=('首頁'!$B$8*12),G367*'首頁'!$B$7/12/100,"")</f>
      </c>
      <c r="D367" s="42">
        <f>IF((ROW()-3)&lt;=('首頁'!$B$8*12),IF(ROW()-3=('首頁'!$B$8*12),G367,MIN(G367,'首頁'!$B$6/('首頁'!$B$8*12))),"")</f>
      </c>
      <c r="E367" s="42">
        <f>IF((ROW()-3)&lt;=('首頁'!$B$8*12),G367-D367,"")</f>
      </c>
      <c r="G367" s="39">
        <f>IF((ROW()-3)&lt;=('首頁'!$B$8*12),E366,"")</f>
      </c>
    </row>
    <row r="368" ht="22" customHeight="1" spans="1:7" x14ac:dyDescent="0.25">
      <c r="A368" s="36">
        <f>IF((ROW()-3)&lt;=('首頁'!$B$8*12),ROW()-3,"")</f>
      </c>
      <c r="B368" s="37">
        <f>IF((ROW()-3)&lt;=('首頁'!$B$8*12),C368+D368,"")</f>
      </c>
      <c r="C368" s="38">
        <f>IF((ROW()-3)&lt;=('首頁'!$B$8*12),G368*'首頁'!$B$7/12/100,"")</f>
      </c>
      <c r="D368" s="38">
        <f>IF((ROW()-3)&lt;=('首頁'!$B$8*12),IF(ROW()-3=('首頁'!$B$8*12),G368,MIN(G368,'首頁'!$B$6/('首頁'!$B$8*12))),"")</f>
      </c>
      <c r="E368" s="38">
        <f>IF((ROW()-3)&lt;=('首頁'!$B$8*12),G368-D368,"")</f>
      </c>
      <c r="G368" s="39">
        <f>IF((ROW()-3)&lt;=('首頁'!$B$8*12),E367,"")</f>
      </c>
    </row>
    <row r="369" ht="22" customHeight="1" spans="1:7" x14ac:dyDescent="0.25">
      <c r="A369" s="40">
        <f>IF((ROW()-3)&lt;=('首頁'!$B$8*12),ROW()-3,"")</f>
      </c>
      <c r="B369" s="41">
        <f>IF((ROW()-3)&lt;=('首頁'!$B$8*12),C369+D369,"")</f>
      </c>
      <c r="C369" s="42">
        <f>IF((ROW()-3)&lt;=('首頁'!$B$8*12),G369*'首頁'!$B$7/12/100,"")</f>
      </c>
      <c r="D369" s="42">
        <f>IF((ROW()-3)&lt;=('首頁'!$B$8*12),IF(ROW()-3=('首頁'!$B$8*12),G369,MIN(G369,'首頁'!$B$6/('首頁'!$B$8*12))),"")</f>
      </c>
      <c r="E369" s="42">
        <f>IF((ROW()-3)&lt;=('首頁'!$B$8*12),G369-D369,"")</f>
      </c>
      <c r="G369" s="39">
        <f>IF((ROW()-3)&lt;=('首頁'!$B$8*12),E368,"")</f>
      </c>
    </row>
    <row r="370" ht="22" customHeight="1" spans="1:7" x14ac:dyDescent="0.25">
      <c r="A370" s="36">
        <f>IF((ROW()-3)&lt;=('首頁'!$B$8*12),ROW()-3,"")</f>
      </c>
      <c r="B370" s="37">
        <f>IF((ROW()-3)&lt;=('首頁'!$B$8*12),C370+D370,"")</f>
      </c>
      <c r="C370" s="38">
        <f>IF((ROW()-3)&lt;=('首頁'!$B$8*12),G370*'首頁'!$B$7/12/100,"")</f>
      </c>
      <c r="D370" s="38">
        <f>IF((ROW()-3)&lt;=('首頁'!$B$8*12),IF(ROW()-3=('首頁'!$B$8*12),G370,MIN(G370,'首頁'!$B$6/('首頁'!$B$8*12))),"")</f>
      </c>
      <c r="E370" s="38">
        <f>IF((ROW()-3)&lt;=('首頁'!$B$8*12),G370-D370,"")</f>
      </c>
      <c r="G370" s="39">
        <f>IF((ROW()-3)&lt;=('首頁'!$B$8*12),E369,"")</f>
      </c>
    </row>
    <row r="371" ht="22" customHeight="1" spans="1:7" x14ac:dyDescent="0.25">
      <c r="A371" s="40">
        <f>IF((ROW()-3)&lt;=('首頁'!$B$8*12),ROW()-3,"")</f>
      </c>
      <c r="B371" s="41">
        <f>IF((ROW()-3)&lt;=('首頁'!$B$8*12),C371+D371,"")</f>
      </c>
      <c r="C371" s="42">
        <f>IF((ROW()-3)&lt;=('首頁'!$B$8*12),G371*'首頁'!$B$7/12/100,"")</f>
      </c>
      <c r="D371" s="42">
        <f>IF((ROW()-3)&lt;=('首頁'!$B$8*12),IF(ROW()-3=('首頁'!$B$8*12),G371,MIN(G371,'首頁'!$B$6/('首頁'!$B$8*12))),"")</f>
      </c>
      <c r="E371" s="42">
        <f>IF((ROW()-3)&lt;=('首頁'!$B$8*12),G371-D371,"")</f>
      </c>
      <c r="G371" s="39">
        <f>IF((ROW()-3)&lt;=('首頁'!$B$8*12),E370,"")</f>
      </c>
    </row>
    <row r="372" ht="22" customHeight="1" spans="1:7" x14ac:dyDescent="0.25">
      <c r="A372" s="36">
        <f>IF((ROW()-3)&lt;=('首頁'!$B$8*12),ROW()-3,"")</f>
      </c>
      <c r="B372" s="37">
        <f>IF((ROW()-3)&lt;=('首頁'!$B$8*12),C372+D372,"")</f>
      </c>
      <c r="C372" s="38">
        <f>IF((ROW()-3)&lt;=('首頁'!$B$8*12),G372*'首頁'!$B$7/12/100,"")</f>
      </c>
      <c r="D372" s="38">
        <f>IF((ROW()-3)&lt;=('首頁'!$B$8*12),IF(ROW()-3=('首頁'!$B$8*12),G372,MIN(G372,'首頁'!$B$6/('首頁'!$B$8*12))),"")</f>
      </c>
      <c r="E372" s="38">
        <f>IF((ROW()-3)&lt;=('首頁'!$B$8*12),G372-D372,"")</f>
      </c>
      <c r="G372" s="39">
        <f>IF((ROW()-3)&lt;=('首頁'!$B$8*12),E371,"")</f>
      </c>
    </row>
    <row r="373" ht="22" customHeight="1" spans="1:7" x14ac:dyDescent="0.25">
      <c r="A373" s="40">
        <f>IF((ROW()-3)&lt;=('首頁'!$B$8*12),ROW()-3,"")</f>
      </c>
      <c r="B373" s="41">
        <f>IF((ROW()-3)&lt;=('首頁'!$B$8*12),C373+D373,"")</f>
      </c>
      <c r="C373" s="42">
        <f>IF((ROW()-3)&lt;=('首頁'!$B$8*12),G373*'首頁'!$B$7/12/100,"")</f>
      </c>
      <c r="D373" s="42">
        <f>IF((ROW()-3)&lt;=('首頁'!$B$8*12),IF(ROW()-3=('首頁'!$B$8*12),G373,MIN(G373,'首頁'!$B$6/('首頁'!$B$8*12))),"")</f>
      </c>
      <c r="E373" s="42">
        <f>IF((ROW()-3)&lt;=('首頁'!$B$8*12),G373-D373,"")</f>
      </c>
      <c r="G373" s="39">
        <f>IF((ROW()-3)&lt;=('首頁'!$B$8*12),E372,"")</f>
      </c>
    </row>
    <row r="374" ht="22" customHeight="1" spans="1:7" x14ac:dyDescent="0.25">
      <c r="A374" s="36">
        <f>IF((ROW()-3)&lt;=('首頁'!$B$8*12),ROW()-3,"")</f>
      </c>
      <c r="B374" s="37">
        <f>IF((ROW()-3)&lt;=('首頁'!$B$8*12),C374+D374,"")</f>
      </c>
      <c r="C374" s="38">
        <f>IF((ROW()-3)&lt;=('首頁'!$B$8*12),G374*'首頁'!$B$7/12/100,"")</f>
      </c>
      <c r="D374" s="38">
        <f>IF((ROW()-3)&lt;=('首頁'!$B$8*12),IF(ROW()-3=('首頁'!$B$8*12),G374,MIN(G374,'首頁'!$B$6/('首頁'!$B$8*12))),"")</f>
      </c>
      <c r="E374" s="38">
        <f>IF((ROW()-3)&lt;=('首頁'!$B$8*12),G374-D374,"")</f>
      </c>
      <c r="G374" s="39">
        <f>IF((ROW()-3)&lt;=('首頁'!$B$8*12),E373,"")</f>
      </c>
    </row>
    <row r="375" ht="22" customHeight="1" spans="1:7" x14ac:dyDescent="0.25">
      <c r="A375" s="40">
        <f>IF((ROW()-3)&lt;=('首頁'!$B$8*12),ROW()-3,"")</f>
      </c>
      <c r="B375" s="41">
        <f>IF((ROW()-3)&lt;=('首頁'!$B$8*12),C375+D375,"")</f>
      </c>
      <c r="C375" s="42">
        <f>IF((ROW()-3)&lt;=('首頁'!$B$8*12),G375*'首頁'!$B$7/12/100,"")</f>
      </c>
      <c r="D375" s="42">
        <f>IF((ROW()-3)&lt;=('首頁'!$B$8*12),IF(ROW()-3=('首頁'!$B$8*12),G375,MIN(G375,'首頁'!$B$6/('首頁'!$B$8*12))),"")</f>
      </c>
      <c r="E375" s="42">
        <f>IF((ROW()-3)&lt;=('首頁'!$B$8*12),G375-D375,"")</f>
      </c>
      <c r="G375" s="39">
        <f>IF((ROW()-3)&lt;=('首頁'!$B$8*12),E374,"")</f>
      </c>
    </row>
    <row r="376" ht="22" customHeight="1" spans="1:7" x14ac:dyDescent="0.25">
      <c r="A376" s="36">
        <f>IF((ROW()-3)&lt;=('首頁'!$B$8*12),ROW()-3,"")</f>
      </c>
      <c r="B376" s="37">
        <f>IF((ROW()-3)&lt;=('首頁'!$B$8*12),C376+D376,"")</f>
      </c>
      <c r="C376" s="38">
        <f>IF((ROW()-3)&lt;=('首頁'!$B$8*12),G376*'首頁'!$B$7/12/100,"")</f>
      </c>
      <c r="D376" s="38">
        <f>IF((ROW()-3)&lt;=('首頁'!$B$8*12),IF(ROW()-3=('首頁'!$B$8*12),G376,MIN(G376,'首頁'!$B$6/('首頁'!$B$8*12))),"")</f>
      </c>
      <c r="E376" s="38">
        <f>IF((ROW()-3)&lt;=('首頁'!$B$8*12),G376-D376,"")</f>
      </c>
      <c r="G376" s="39">
        <f>IF((ROW()-3)&lt;=('首頁'!$B$8*12),E375,"")</f>
      </c>
    </row>
    <row r="377" ht="22" customHeight="1" spans="1:7" x14ac:dyDescent="0.25">
      <c r="A377" s="40">
        <f>IF((ROW()-3)&lt;=('首頁'!$B$8*12),ROW()-3,"")</f>
      </c>
      <c r="B377" s="41">
        <f>IF((ROW()-3)&lt;=('首頁'!$B$8*12),C377+D377,"")</f>
      </c>
      <c r="C377" s="42">
        <f>IF((ROW()-3)&lt;=('首頁'!$B$8*12),G377*'首頁'!$B$7/12/100,"")</f>
      </c>
      <c r="D377" s="42">
        <f>IF((ROW()-3)&lt;=('首頁'!$B$8*12),IF(ROW()-3=('首頁'!$B$8*12),G377,MIN(G377,'首頁'!$B$6/('首頁'!$B$8*12))),"")</f>
      </c>
      <c r="E377" s="42">
        <f>IF((ROW()-3)&lt;=('首頁'!$B$8*12),G377-D377,"")</f>
      </c>
      <c r="G377" s="39">
        <f>IF((ROW()-3)&lt;=('首頁'!$B$8*12),E376,"")</f>
      </c>
    </row>
    <row r="378" ht="22" customHeight="1" spans="1:7" x14ac:dyDescent="0.25">
      <c r="A378" s="36">
        <f>IF((ROW()-3)&lt;=('首頁'!$B$8*12),ROW()-3,"")</f>
      </c>
      <c r="B378" s="37">
        <f>IF((ROW()-3)&lt;=('首頁'!$B$8*12),C378+D378,"")</f>
      </c>
      <c r="C378" s="38">
        <f>IF((ROW()-3)&lt;=('首頁'!$B$8*12),G378*'首頁'!$B$7/12/100,"")</f>
      </c>
      <c r="D378" s="38">
        <f>IF((ROW()-3)&lt;=('首頁'!$B$8*12),IF(ROW()-3=('首頁'!$B$8*12),G378,MIN(G378,'首頁'!$B$6/('首頁'!$B$8*12))),"")</f>
      </c>
      <c r="E378" s="38">
        <f>IF((ROW()-3)&lt;=('首頁'!$B$8*12),G378-D378,"")</f>
      </c>
      <c r="G378" s="39">
        <f>IF((ROW()-3)&lt;=('首頁'!$B$8*12),E377,"")</f>
      </c>
    </row>
    <row r="379" ht="22" customHeight="1" spans="1:7" x14ac:dyDescent="0.25">
      <c r="A379" s="40">
        <f>IF((ROW()-3)&lt;=('首頁'!$B$8*12),ROW()-3,"")</f>
      </c>
      <c r="B379" s="41">
        <f>IF((ROW()-3)&lt;=('首頁'!$B$8*12),C379+D379,"")</f>
      </c>
      <c r="C379" s="42">
        <f>IF((ROW()-3)&lt;=('首頁'!$B$8*12),G379*'首頁'!$B$7/12/100,"")</f>
      </c>
      <c r="D379" s="42">
        <f>IF((ROW()-3)&lt;=('首頁'!$B$8*12),IF(ROW()-3=('首頁'!$B$8*12),G379,MIN(G379,'首頁'!$B$6/('首頁'!$B$8*12))),"")</f>
      </c>
      <c r="E379" s="42">
        <f>IF((ROW()-3)&lt;=('首頁'!$B$8*12),G379-D379,"")</f>
      </c>
      <c r="G379" s="39">
        <f>IF((ROW()-3)&lt;=('首頁'!$B$8*12),E378,"")</f>
      </c>
    </row>
    <row r="380" ht="22" customHeight="1" spans="1:7" x14ac:dyDescent="0.25">
      <c r="A380" s="36">
        <f>IF((ROW()-3)&lt;=('首頁'!$B$8*12),ROW()-3,"")</f>
      </c>
      <c r="B380" s="37">
        <f>IF((ROW()-3)&lt;=('首頁'!$B$8*12),C380+D380,"")</f>
      </c>
      <c r="C380" s="38">
        <f>IF((ROW()-3)&lt;=('首頁'!$B$8*12),G380*'首頁'!$B$7/12/100,"")</f>
      </c>
      <c r="D380" s="38">
        <f>IF((ROW()-3)&lt;=('首頁'!$B$8*12),IF(ROW()-3=('首頁'!$B$8*12),G380,MIN(G380,'首頁'!$B$6/('首頁'!$B$8*12))),"")</f>
      </c>
      <c r="E380" s="38">
        <f>IF((ROW()-3)&lt;=('首頁'!$B$8*12),G380-D380,"")</f>
      </c>
      <c r="G380" s="39">
        <f>IF((ROW()-3)&lt;=('首頁'!$B$8*12),E379,"")</f>
      </c>
    </row>
    <row r="381" ht="22" customHeight="1" spans="1:7" x14ac:dyDescent="0.25">
      <c r="A381" s="40">
        <f>IF((ROW()-3)&lt;=('首頁'!$B$8*12),ROW()-3,"")</f>
      </c>
      <c r="B381" s="41">
        <f>IF((ROW()-3)&lt;=('首頁'!$B$8*12),C381+D381,"")</f>
      </c>
      <c r="C381" s="42">
        <f>IF((ROW()-3)&lt;=('首頁'!$B$8*12),G381*'首頁'!$B$7/12/100,"")</f>
      </c>
      <c r="D381" s="42">
        <f>IF((ROW()-3)&lt;=('首頁'!$B$8*12),IF(ROW()-3=('首頁'!$B$8*12),G381,MIN(G381,'首頁'!$B$6/('首頁'!$B$8*12))),"")</f>
      </c>
      <c r="E381" s="42">
        <f>IF((ROW()-3)&lt;=('首頁'!$B$8*12),G381-D381,"")</f>
      </c>
      <c r="G381" s="39">
        <f>IF((ROW()-3)&lt;=('首頁'!$B$8*12),E380,"")</f>
      </c>
    </row>
    <row r="382" ht="22" customHeight="1" spans="1:7" x14ac:dyDescent="0.25">
      <c r="A382" s="36">
        <f>IF((ROW()-3)&lt;=('首頁'!$B$8*12),ROW()-3,"")</f>
      </c>
      <c r="B382" s="37">
        <f>IF((ROW()-3)&lt;=('首頁'!$B$8*12),C382+D382,"")</f>
      </c>
      <c r="C382" s="38">
        <f>IF((ROW()-3)&lt;=('首頁'!$B$8*12),G382*'首頁'!$B$7/12/100,"")</f>
      </c>
      <c r="D382" s="38">
        <f>IF((ROW()-3)&lt;=('首頁'!$B$8*12),IF(ROW()-3=('首頁'!$B$8*12),G382,MIN(G382,'首頁'!$B$6/('首頁'!$B$8*12))),"")</f>
      </c>
      <c r="E382" s="38">
        <f>IF((ROW()-3)&lt;=('首頁'!$B$8*12),G382-D382,"")</f>
      </c>
      <c r="G382" s="39">
        <f>IF((ROW()-3)&lt;=('首頁'!$B$8*12),E381,"")</f>
      </c>
    </row>
    <row r="383" ht="22" customHeight="1" spans="1:7" x14ac:dyDescent="0.25">
      <c r="A383" s="40">
        <f>IF((ROW()-3)&lt;=('首頁'!$B$8*12),ROW()-3,"")</f>
      </c>
      <c r="B383" s="41">
        <f>IF((ROW()-3)&lt;=('首頁'!$B$8*12),C383+D383,"")</f>
      </c>
      <c r="C383" s="42">
        <f>IF((ROW()-3)&lt;=('首頁'!$B$8*12),G383*'首頁'!$B$7/12/100,"")</f>
      </c>
      <c r="D383" s="42">
        <f>IF((ROW()-3)&lt;=('首頁'!$B$8*12),IF(ROW()-3=('首頁'!$B$8*12),G383,MIN(G383,'首頁'!$B$6/('首頁'!$B$8*12))),"")</f>
      </c>
      <c r="E383" s="42">
        <f>IF((ROW()-3)&lt;=('首頁'!$B$8*12),G383-D383,"")</f>
      </c>
      <c r="G383" s="39">
        <f>IF((ROW()-3)&lt;=('首頁'!$B$8*12),E382,"")</f>
      </c>
    </row>
    <row r="384" ht="22" customHeight="1" spans="1:7" x14ac:dyDescent="0.25">
      <c r="A384" s="36">
        <f>IF((ROW()-3)&lt;=('首頁'!$B$8*12),ROW()-3,"")</f>
      </c>
      <c r="B384" s="37">
        <f>IF((ROW()-3)&lt;=('首頁'!$B$8*12),C384+D384,"")</f>
      </c>
      <c r="C384" s="38">
        <f>IF((ROW()-3)&lt;=('首頁'!$B$8*12),G384*'首頁'!$B$7/12/100,"")</f>
      </c>
      <c r="D384" s="38">
        <f>IF((ROW()-3)&lt;=('首頁'!$B$8*12),IF(ROW()-3=('首頁'!$B$8*12),G384,MIN(G384,'首頁'!$B$6/('首頁'!$B$8*12))),"")</f>
      </c>
      <c r="E384" s="38">
        <f>IF((ROW()-3)&lt;=('首頁'!$B$8*12),G384-D384,"")</f>
      </c>
      <c r="G384" s="39">
        <f>IF((ROW()-3)&lt;=('首頁'!$B$8*12),E383,"")</f>
      </c>
    </row>
    <row r="385" ht="22" customHeight="1" spans="1:7" x14ac:dyDescent="0.25">
      <c r="A385" s="40">
        <f>IF((ROW()-3)&lt;=('首頁'!$B$8*12),ROW()-3,"")</f>
      </c>
      <c r="B385" s="41">
        <f>IF((ROW()-3)&lt;=('首頁'!$B$8*12),C385+D385,"")</f>
      </c>
      <c r="C385" s="42">
        <f>IF((ROW()-3)&lt;=('首頁'!$B$8*12),G385*'首頁'!$B$7/12/100,"")</f>
      </c>
      <c r="D385" s="42">
        <f>IF((ROW()-3)&lt;=('首頁'!$B$8*12),IF(ROW()-3=('首頁'!$B$8*12),G385,MIN(G385,'首頁'!$B$6/('首頁'!$B$8*12))),"")</f>
      </c>
      <c r="E385" s="42">
        <f>IF((ROW()-3)&lt;=('首頁'!$B$8*12),G385-D385,"")</f>
      </c>
      <c r="G385" s="39">
        <f>IF((ROW()-3)&lt;=('首頁'!$B$8*12),E384,"")</f>
      </c>
    </row>
    <row r="386" ht="22" customHeight="1" spans="1:7" x14ac:dyDescent="0.25">
      <c r="A386" s="36">
        <f>IF((ROW()-3)&lt;=('首頁'!$B$8*12),ROW()-3,"")</f>
      </c>
      <c r="B386" s="37">
        <f>IF((ROW()-3)&lt;=('首頁'!$B$8*12),C386+D386,"")</f>
      </c>
      <c r="C386" s="38">
        <f>IF((ROW()-3)&lt;=('首頁'!$B$8*12),G386*'首頁'!$B$7/12/100,"")</f>
      </c>
      <c r="D386" s="38">
        <f>IF((ROW()-3)&lt;=('首頁'!$B$8*12),IF(ROW()-3=('首頁'!$B$8*12),G386,MIN(G386,'首頁'!$B$6/('首頁'!$B$8*12))),"")</f>
      </c>
      <c r="E386" s="38">
        <f>IF((ROW()-3)&lt;=('首頁'!$B$8*12),G386-D386,"")</f>
      </c>
      <c r="G386" s="39">
        <f>IF((ROW()-3)&lt;=('首頁'!$B$8*12),E385,"")</f>
      </c>
    </row>
    <row r="387" ht="22" customHeight="1" spans="1:7" x14ac:dyDescent="0.25">
      <c r="A387" s="40">
        <f>IF((ROW()-3)&lt;=('首頁'!$B$8*12),ROW()-3,"")</f>
      </c>
      <c r="B387" s="41">
        <f>IF((ROW()-3)&lt;=('首頁'!$B$8*12),C387+D387,"")</f>
      </c>
      <c r="C387" s="42">
        <f>IF((ROW()-3)&lt;=('首頁'!$B$8*12),G387*'首頁'!$B$7/12/100,"")</f>
      </c>
      <c r="D387" s="42">
        <f>IF((ROW()-3)&lt;=('首頁'!$B$8*12),IF(ROW()-3=('首頁'!$B$8*12),G387,MIN(G387,'首頁'!$B$6/('首頁'!$B$8*12))),"")</f>
      </c>
      <c r="E387" s="42">
        <f>IF((ROW()-3)&lt;=('首頁'!$B$8*12),G387-D387,"")</f>
      </c>
      <c r="G387" s="39">
        <f>IF((ROW()-3)&lt;=('首頁'!$B$8*12),E386,"")</f>
      </c>
    </row>
    <row r="388" ht="22" customHeight="1" spans="1:7" x14ac:dyDescent="0.25">
      <c r="A388" s="36">
        <f>IF((ROW()-3)&lt;=('首頁'!$B$8*12),ROW()-3,"")</f>
      </c>
      <c r="B388" s="37">
        <f>IF((ROW()-3)&lt;=('首頁'!$B$8*12),C388+D388,"")</f>
      </c>
      <c r="C388" s="38">
        <f>IF((ROW()-3)&lt;=('首頁'!$B$8*12),G388*'首頁'!$B$7/12/100,"")</f>
      </c>
      <c r="D388" s="38">
        <f>IF((ROW()-3)&lt;=('首頁'!$B$8*12),IF(ROW()-3=('首頁'!$B$8*12),G388,MIN(G388,'首頁'!$B$6/('首頁'!$B$8*12))),"")</f>
      </c>
      <c r="E388" s="38">
        <f>IF((ROW()-3)&lt;=('首頁'!$B$8*12),G388-D388,"")</f>
      </c>
      <c r="G388" s="39">
        <f>IF((ROW()-3)&lt;=('首頁'!$B$8*12),E387,"")</f>
      </c>
    </row>
    <row r="389" ht="22" customHeight="1" spans="1:7" x14ac:dyDescent="0.25">
      <c r="A389" s="40">
        <f>IF((ROW()-3)&lt;=('首頁'!$B$8*12),ROW()-3,"")</f>
      </c>
      <c r="B389" s="41">
        <f>IF((ROW()-3)&lt;=('首頁'!$B$8*12),C389+D389,"")</f>
      </c>
      <c r="C389" s="42">
        <f>IF((ROW()-3)&lt;=('首頁'!$B$8*12),G389*'首頁'!$B$7/12/100,"")</f>
      </c>
      <c r="D389" s="42">
        <f>IF((ROW()-3)&lt;=('首頁'!$B$8*12),IF(ROW()-3=('首頁'!$B$8*12),G389,MIN(G389,'首頁'!$B$6/('首頁'!$B$8*12))),"")</f>
      </c>
      <c r="E389" s="42">
        <f>IF((ROW()-3)&lt;=('首頁'!$B$8*12),G389-D389,"")</f>
      </c>
      <c r="G389" s="39">
        <f>IF((ROW()-3)&lt;=('首頁'!$B$8*12),E388,"")</f>
      </c>
    </row>
    <row r="390" ht="22" customHeight="1" spans="1:7" x14ac:dyDescent="0.25">
      <c r="A390" s="36">
        <f>IF((ROW()-3)&lt;=('首頁'!$B$8*12),ROW()-3,"")</f>
      </c>
      <c r="B390" s="37">
        <f>IF((ROW()-3)&lt;=('首頁'!$B$8*12),C390+D390,"")</f>
      </c>
      <c r="C390" s="38">
        <f>IF((ROW()-3)&lt;=('首頁'!$B$8*12),G390*'首頁'!$B$7/12/100,"")</f>
      </c>
      <c r="D390" s="38">
        <f>IF((ROW()-3)&lt;=('首頁'!$B$8*12),IF(ROW()-3=('首頁'!$B$8*12),G390,MIN(G390,'首頁'!$B$6/('首頁'!$B$8*12))),"")</f>
      </c>
      <c r="E390" s="38">
        <f>IF((ROW()-3)&lt;=('首頁'!$B$8*12),G390-D390,"")</f>
      </c>
      <c r="G390" s="39">
        <f>IF((ROW()-3)&lt;=('首頁'!$B$8*12),E389,"")</f>
      </c>
    </row>
    <row r="391" ht="22" customHeight="1" spans="1:7" x14ac:dyDescent="0.25">
      <c r="A391" s="40">
        <f>IF((ROW()-3)&lt;=('首頁'!$B$8*12),ROW()-3,"")</f>
      </c>
      <c r="B391" s="41">
        <f>IF((ROW()-3)&lt;=('首頁'!$B$8*12),C391+D391,"")</f>
      </c>
      <c r="C391" s="42">
        <f>IF((ROW()-3)&lt;=('首頁'!$B$8*12),G391*'首頁'!$B$7/12/100,"")</f>
      </c>
      <c r="D391" s="42">
        <f>IF((ROW()-3)&lt;=('首頁'!$B$8*12),IF(ROW()-3=('首頁'!$B$8*12),G391,MIN(G391,'首頁'!$B$6/('首頁'!$B$8*12))),"")</f>
      </c>
      <c r="E391" s="42">
        <f>IF((ROW()-3)&lt;=('首頁'!$B$8*12),G391-D391,"")</f>
      </c>
      <c r="G391" s="39">
        <f>IF((ROW()-3)&lt;=('首頁'!$B$8*12),E390,"")</f>
      </c>
    </row>
    <row r="392" ht="22" customHeight="1" spans="1:7" x14ac:dyDescent="0.25">
      <c r="A392" s="36">
        <f>IF((ROW()-3)&lt;=('首頁'!$B$8*12),ROW()-3,"")</f>
      </c>
      <c r="B392" s="37">
        <f>IF((ROW()-3)&lt;=('首頁'!$B$8*12),C392+D392,"")</f>
      </c>
      <c r="C392" s="38">
        <f>IF((ROW()-3)&lt;=('首頁'!$B$8*12),G392*'首頁'!$B$7/12/100,"")</f>
      </c>
      <c r="D392" s="38">
        <f>IF((ROW()-3)&lt;=('首頁'!$B$8*12),IF(ROW()-3=('首頁'!$B$8*12),G392,MIN(G392,'首頁'!$B$6/('首頁'!$B$8*12))),"")</f>
      </c>
      <c r="E392" s="38">
        <f>IF((ROW()-3)&lt;=('首頁'!$B$8*12),G392-D392,"")</f>
      </c>
      <c r="G392" s="39">
        <f>IF((ROW()-3)&lt;=('首頁'!$B$8*12),E391,"")</f>
      </c>
    </row>
    <row r="393" ht="22" customHeight="1" spans="1:7" x14ac:dyDescent="0.25">
      <c r="A393" s="40">
        <f>IF((ROW()-3)&lt;=('首頁'!$B$8*12),ROW()-3,"")</f>
      </c>
      <c r="B393" s="41">
        <f>IF((ROW()-3)&lt;=('首頁'!$B$8*12),C393+D393,"")</f>
      </c>
      <c r="C393" s="42">
        <f>IF((ROW()-3)&lt;=('首頁'!$B$8*12),G393*'首頁'!$B$7/12/100,"")</f>
      </c>
      <c r="D393" s="42">
        <f>IF((ROW()-3)&lt;=('首頁'!$B$8*12),IF(ROW()-3=('首頁'!$B$8*12),G393,MIN(G393,'首頁'!$B$6/('首頁'!$B$8*12))),"")</f>
      </c>
      <c r="E393" s="42">
        <f>IF((ROW()-3)&lt;=('首頁'!$B$8*12),G393-D393,"")</f>
      </c>
      <c r="G393" s="39">
        <f>IF((ROW()-3)&lt;=('首頁'!$B$8*12),E392,"")</f>
      </c>
    </row>
    <row r="394" ht="22" customHeight="1" spans="1:7" x14ac:dyDescent="0.25">
      <c r="A394" s="36">
        <f>IF((ROW()-3)&lt;=('首頁'!$B$8*12),ROW()-3,"")</f>
      </c>
      <c r="B394" s="37">
        <f>IF((ROW()-3)&lt;=('首頁'!$B$8*12),C394+D394,"")</f>
      </c>
      <c r="C394" s="38">
        <f>IF((ROW()-3)&lt;=('首頁'!$B$8*12),G394*'首頁'!$B$7/12/100,"")</f>
      </c>
      <c r="D394" s="38">
        <f>IF((ROW()-3)&lt;=('首頁'!$B$8*12),IF(ROW()-3=('首頁'!$B$8*12),G394,MIN(G394,'首頁'!$B$6/('首頁'!$B$8*12))),"")</f>
      </c>
      <c r="E394" s="38">
        <f>IF((ROW()-3)&lt;=('首頁'!$B$8*12),G394-D394,"")</f>
      </c>
      <c r="G394" s="39">
        <f>IF((ROW()-3)&lt;=('首頁'!$B$8*12),E393,"")</f>
      </c>
    </row>
    <row r="395" ht="22" customHeight="1" spans="1:7" x14ac:dyDescent="0.25">
      <c r="A395" s="40">
        <f>IF((ROW()-3)&lt;=('首頁'!$B$8*12),ROW()-3,"")</f>
      </c>
      <c r="B395" s="41">
        <f>IF((ROW()-3)&lt;=('首頁'!$B$8*12),C395+D395,"")</f>
      </c>
      <c r="C395" s="42">
        <f>IF((ROW()-3)&lt;=('首頁'!$B$8*12),G395*'首頁'!$B$7/12/100,"")</f>
      </c>
      <c r="D395" s="42">
        <f>IF((ROW()-3)&lt;=('首頁'!$B$8*12),IF(ROW()-3=('首頁'!$B$8*12),G395,MIN(G395,'首頁'!$B$6/('首頁'!$B$8*12))),"")</f>
      </c>
      <c r="E395" s="42">
        <f>IF((ROW()-3)&lt;=('首頁'!$B$8*12),G395-D395,"")</f>
      </c>
      <c r="G395" s="39">
        <f>IF((ROW()-3)&lt;=('首頁'!$B$8*12),E394,"")</f>
      </c>
    </row>
    <row r="396" ht="22" customHeight="1" spans="1:7" x14ac:dyDescent="0.25">
      <c r="A396" s="36">
        <f>IF((ROW()-3)&lt;=('首頁'!$B$8*12),ROW()-3,"")</f>
      </c>
      <c r="B396" s="37">
        <f>IF((ROW()-3)&lt;=('首頁'!$B$8*12),C396+D396,"")</f>
      </c>
      <c r="C396" s="38">
        <f>IF((ROW()-3)&lt;=('首頁'!$B$8*12),G396*'首頁'!$B$7/12/100,"")</f>
      </c>
      <c r="D396" s="38">
        <f>IF((ROW()-3)&lt;=('首頁'!$B$8*12),IF(ROW()-3=('首頁'!$B$8*12),G396,MIN(G396,'首頁'!$B$6/('首頁'!$B$8*12))),"")</f>
      </c>
      <c r="E396" s="38">
        <f>IF((ROW()-3)&lt;=('首頁'!$B$8*12),G396-D396,"")</f>
      </c>
      <c r="G396" s="39">
        <f>IF((ROW()-3)&lt;=('首頁'!$B$8*12),E395,"")</f>
      </c>
    </row>
    <row r="397" ht="22" customHeight="1" spans="1:7" x14ac:dyDescent="0.25">
      <c r="A397" s="40">
        <f>IF((ROW()-3)&lt;=('首頁'!$B$8*12),ROW()-3,"")</f>
      </c>
      <c r="B397" s="41">
        <f>IF((ROW()-3)&lt;=('首頁'!$B$8*12),C397+D397,"")</f>
      </c>
      <c r="C397" s="42">
        <f>IF((ROW()-3)&lt;=('首頁'!$B$8*12),G397*'首頁'!$B$7/12/100,"")</f>
      </c>
      <c r="D397" s="42">
        <f>IF((ROW()-3)&lt;=('首頁'!$B$8*12),IF(ROW()-3=('首頁'!$B$8*12),G397,MIN(G397,'首頁'!$B$6/('首頁'!$B$8*12))),"")</f>
      </c>
      <c r="E397" s="42">
        <f>IF((ROW()-3)&lt;=('首頁'!$B$8*12),G397-D397,"")</f>
      </c>
      <c r="G397" s="39">
        <f>IF((ROW()-3)&lt;=('首頁'!$B$8*12),E396,"")</f>
      </c>
    </row>
    <row r="398" ht="22" customHeight="1" spans="1:7" x14ac:dyDescent="0.25">
      <c r="A398" s="36">
        <f>IF((ROW()-3)&lt;=('首頁'!$B$8*12),ROW()-3,"")</f>
      </c>
      <c r="B398" s="37">
        <f>IF((ROW()-3)&lt;=('首頁'!$B$8*12),C398+D398,"")</f>
      </c>
      <c r="C398" s="38">
        <f>IF((ROW()-3)&lt;=('首頁'!$B$8*12),G398*'首頁'!$B$7/12/100,"")</f>
      </c>
      <c r="D398" s="38">
        <f>IF((ROW()-3)&lt;=('首頁'!$B$8*12),IF(ROW()-3=('首頁'!$B$8*12),G398,MIN(G398,'首頁'!$B$6/('首頁'!$B$8*12))),"")</f>
      </c>
      <c r="E398" s="38">
        <f>IF((ROW()-3)&lt;=('首頁'!$B$8*12),G398-D398,"")</f>
      </c>
      <c r="G398" s="39">
        <f>IF((ROW()-3)&lt;=('首頁'!$B$8*12),E397,"")</f>
      </c>
    </row>
    <row r="399" ht="22" customHeight="1" spans="1:7" x14ac:dyDescent="0.25">
      <c r="A399" s="40">
        <f>IF((ROW()-3)&lt;=('首頁'!$B$8*12),ROW()-3,"")</f>
      </c>
      <c r="B399" s="41">
        <f>IF((ROW()-3)&lt;=('首頁'!$B$8*12),C399+D399,"")</f>
      </c>
      <c r="C399" s="42">
        <f>IF((ROW()-3)&lt;=('首頁'!$B$8*12),G399*'首頁'!$B$7/12/100,"")</f>
      </c>
      <c r="D399" s="42">
        <f>IF((ROW()-3)&lt;=('首頁'!$B$8*12),IF(ROW()-3=('首頁'!$B$8*12),G399,MIN(G399,'首頁'!$B$6/('首頁'!$B$8*12))),"")</f>
      </c>
      <c r="E399" s="42">
        <f>IF((ROW()-3)&lt;=('首頁'!$B$8*12),G399-D399,"")</f>
      </c>
      <c r="G399" s="39">
        <f>IF((ROW()-3)&lt;=('首頁'!$B$8*12),E398,"")</f>
      </c>
    </row>
    <row r="400" ht="22" customHeight="1" spans="1:7" x14ac:dyDescent="0.25">
      <c r="A400" s="36">
        <f>IF((ROW()-3)&lt;=('首頁'!$B$8*12),ROW()-3,"")</f>
      </c>
      <c r="B400" s="37">
        <f>IF((ROW()-3)&lt;=('首頁'!$B$8*12),C400+D400,"")</f>
      </c>
      <c r="C400" s="38">
        <f>IF((ROW()-3)&lt;=('首頁'!$B$8*12),G400*'首頁'!$B$7/12/100,"")</f>
      </c>
      <c r="D400" s="38">
        <f>IF((ROW()-3)&lt;=('首頁'!$B$8*12),IF(ROW()-3=('首頁'!$B$8*12),G400,MIN(G400,'首頁'!$B$6/('首頁'!$B$8*12))),"")</f>
      </c>
      <c r="E400" s="38">
        <f>IF((ROW()-3)&lt;=('首頁'!$B$8*12),G400-D400,"")</f>
      </c>
      <c r="G400" s="39">
        <f>IF((ROW()-3)&lt;=('首頁'!$B$8*12),E399,"")</f>
      </c>
    </row>
    <row r="401" ht="22" customHeight="1" spans="1:7" x14ac:dyDescent="0.25">
      <c r="A401" s="40">
        <f>IF((ROW()-3)&lt;=('首頁'!$B$8*12),ROW()-3,"")</f>
      </c>
      <c r="B401" s="41">
        <f>IF((ROW()-3)&lt;=('首頁'!$B$8*12),C401+D401,"")</f>
      </c>
      <c r="C401" s="42">
        <f>IF((ROW()-3)&lt;=('首頁'!$B$8*12),G401*'首頁'!$B$7/12/100,"")</f>
      </c>
      <c r="D401" s="42">
        <f>IF((ROW()-3)&lt;=('首頁'!$B$8*12),IF(ROW()-3=('首頁'!$B$8*12),G401,MIN(G401,'首頁'!$B$6/('首頁'!$B$8*12))),"")</f>
      </c>
      <c r="E401" s="42">
        <f>IF((ROW()-3)&lt;=('首頁'!$B$8*12),G401-D401,"")</f>
      </c>
      <c r="G401" s="39">
        <f>IF((ROW()-3)&lt;=('首頁'!$B$8*12),E400,"")</f>
      </c>
    </row>
    <row r="402" ht="22" customHeight="1" spans="1:7" x14ac:dyDescent="0.25">
      <c r="A402" s="36">
        <f>IF((ROW()-3)&lt;=('首頁'!$B$8*12),ROW()-3,"")</f>
      </c>
      <c r="B402" s="37">
        <f>IF((ROW()-3)&lt;=('首頁'!$B$8*12),C402+D402,"")</f>
      </c>
      <c r="C402" s="38">
        <f>IF((ROW()-3)&lt;=('首頁'!$B$8*12),G402*'首頁'!$B$7/12/100,"")</f>
      </c>
      <c r="D402" s="38">
        <f>IF((ROW()-3)&lt;=('首頁'!$B$8*12),IF(ROW()-3=('首頁'!$B$8*12),G402,MIN(G402,'首頁'!$B$6/('首頁'!$B$8*12))),"")</f>
      </c>
      <c r="E402" s="38">
        <f>IF((ROW()-3)&lt;=('首頁'!$B$8*12),G402-D402,"")</f>
      </c>
      <c r="G402" s="39">
        <f>IF((ROW()-3)&lt;=('首頁'!$B$8*12),E401,"")</f>
      </c>
    </row>
    <row r="403" ht="22" customHeight="1" spans="1:7" x14ac:dyDescent="0.25">
      <c r="A403" s="40">
        <f>IF((ROW()-3)&lt;=('首頁'!$B$8*12),ROW()-3,"")</f>
      </c>
      <c r="B403" s="41">
        <f>IF((ROW()-3)&lt;=('首頁'!$B$8*12),C403+D403,"")</f>
      </c>
      <c r="C403" s="42">
        <f>IF((ROW()-3)&lt;=('首頁'!$B$8*12),G403*'首頁'!$B$7/12/100,"")</f>
      </c>
      <c r="D403" s="42">
        <f>IF((ROW()-3)&lt;=('首頁'!$B$8*12),IF(ROW()-3=('首頁'!$B$8*12),G403,MIN(G403,'首頁'!$B$6/('首頁'!$B$8*12))),"")</f>
      </c>
      <c r="E403" s="42">
        <f>IF((ROW()-3)&lt;=('首頁'!$B$8*12),G403-D403,"")</f>
      </c>
      <c r="G403" s="39">
        <f>IF((ROW()-3)&lt;=('首頁'!$B$8*12),E402,"")</f>
      </c>
    </row>
    <row r="404" ht="22" customHeight="1" spans="1:7" x14ac:dyDescent="0.25">
      <c r="A404" s="36">
        <f>IF((ROW()-3)&lt;=('首頁'!$B$8*12),ROW()-3,"")</f>
      </c>
      <c r="B404" s="37">
        <f>IF((ROW()-3)&lt;=('首頁'!$B$8*12),C404+D404,"")</f>
      </c>
      <c r="C404" s="38">
        <f>IF((ROW()-3)&lt;=('首頁'!$B$8*12),G404*'首頁'!$B$7/12/100,"")</f>
      </c>
      <c r="D404" s="38">
        <f>IF((ROW()-3)&lt;=('首頁'!$B$8*12),IF(ROW()-3=('首頁'!$B$8*12),G404,MIN(G404,'首頁'!$B$6/('首頁'!$B$8*12))),"")</f>
      </c>
      <c r="E404" s="38">
        <f>IF((ROW()-3)&lt;=('首頁'!$B$8*12),G404-D404,"")</f>
      </c>
      <c r="G404" s="39">
        <f>IF((ROW()-3)&lt;=('首頁'!$B$8*12),E403,"")</f>
      </c>
    </row>
    <row r="405" ht="22" customHeight="1" spans="1:7" x14ac:dyDescent="0.25">
      <c r="A405" s="40">
        <f>IF((ROW()-3)&lt;=('首頁'!$B$8*12),ROW()-3,"")</f>
      </c>
      <c r="B405" s="41">
        <f>IF((ROW()-3)&lt;=('首頁'!$B$8*12),C405+D405,"")</f>
      </c>
      <c r="C405" s="42">
        <f>IF((ROW()-3)&lt;=('首頁'!$B$8*12),G405*'首頁'!$B$7/12/100,"")</f>
      </c>
      <c r="D405" s="42">
        <f>IF((ROW()-3)&lt;=('首頁'!$B$8*12),IF(ROW()-3=('首頁'!$B$8*12),G405,MIN(G405,'首頁'!$B$6/('首頁'!$B$8*12))),"")</f>
      </c>
      <c r="E405" s="42">
        <f>IF((ROW()-3)&lt;=('首頁'!$B$8*12),G405-D405,"")</f>
      </c>
      <c r="G405" s="39">
        <f>IF((ROW()-3)&lt;=('首頁'!$B$8*12),E404,"")</f>
      </c>
    </row>
    <row r="406" ht="22" customHeight="1" spans="1:7" x14ac:dyDescent="0.25">
      <c r="A406" s="36">
        <f>IF((ROW()-3)&lt;=('首頁'!$B$8*12),ROW()-3,"")</f>
      </c>
      <c r="B406" s="37">
        <f>IF((ROW()-3)&lt;=('首頁'!$B$8*12),C406+D406,"")</f>
      </c>
      <c r="C406" s="38">
        <f>IF((ROW()-3)&lt;=('首頁'!$B$8*12),G406*'首頁'!$B$7/12/100,"")</f>
      </c>
      <c r="D406" s="38">
        <f>IF((ROW()-3)&lt;=('首頁'!$B$8*12),IF(ROW()-3=('首頁'!$B$8*12),G406,MIN(G406,'首頁'!$B$6/('首頁'!$B$8*12))),"")</f>
      </c>
      <c r="E406" s="38">
        <f>IF((ROW()-3)&lt;=('首頁'!$B$8*12),G406-D406,"")</f>
      </c>
      <c r="G406" s="39">
        <f>IF((ROW()-3)&lt;=('首頁'!$B$8*12),E405,"")</f>
      </c>
    </row>
    <row r="407" ht="22" customHeight="1" spans="1:7" x14ac:dyDescent="0.25">
      <c r="A407" s="40">
        <f>IF((ROW()-3)&lt;=('首頁'!$B$8*12),ROW()-3,"")</f>
      </c>
      <c r="B407" s="41">
        <f>IF((ROW()-3)&lt;=('首頁'!$B$8*12),C407+D407,"")</f>
      </c>
      <c r="C407" s="42">
        <f>IF((ROW()-3)&lt;=('首頁'!$B$8*12),G407*'首頁'!$B$7/12/100,"")</f>
      </c>
      <c r="D407" s="42">
        <f>IF((ROW()-3)&lt;=('首頁'!$B$8*12),IF(ROW()-3=('首頁'!$B$8*12),G407,MIN(G407,'首頁'!$B$6/('首頁'!$B$8*12))),"")</f>
      </c>
      <c r="E407" s="42">
        <f>IF((ROW()-3)&lt;=('首頁'!$B$8*12),G407-D407,"")</f>
      </c>
      <c r="G407" s="39">
        <f>IF((ROW()-3)&lt;=('首頁'!$B$8*12),E406,"")</f>
      </c>
    </row>
    <row r="408" ht="22" customHeight="1" spans="1:7" x14ac:dyDescent="0.25">
      <c r="A408" s="36">
        <f>IF((ROW()-3)&lt;=('首頁'!$B$8*12),ROW()-3,"")</f>
      </c>
      <c r="B408" s="37">
        <f>IF((ROW()-3)&lt;=('首頁'!$B$8*12),C408+D408,"")</f>
      </c>
      <c r="C408" s="38">
        <f>IF((ROW()-3)&lt;=('首頁'!$B$8*12),G408*'首頁'!$B$7/12/100,"")</f>
      </c>
      <c r="D408" s="38">
        <f>IF((ROW()-3)&lt;=('首頁'!$B$8*12),IF(ROW()-3=('首頁'!$B$8*12),G408,MIN(G408,'首頁'!$B$6/('首頁'!$B$8*12))),"")</f>
      </c>
      <c r="E408" s="38">
        <f>IF((ROW()-3)&lt;=('首頁'!$B$8*12),G408-D408,"")</f>
      </c>
      <c r="G408" s="39">
        <f>IF((ROW()-3)&lt;=('首頁'!$B$8*12),E407,"")</f>
      </c>
    </row>
    <row r="409" ht="22" customHeight="1" spans="1:7" x14ac:dyDescent="0.25">
      <c r="A409" s="40">
        <f>IF((ROW()-3)&lt;=('首頁'!$B$8*12),ROW()-3,"")</f>
      </c>
      <c r="B409" s="41">
        <f>IF((ROW()-3)&lt;=('首頁'!$B$8*12),C409+D409,"")</f>
      </c>
      <c r="C409" s="42">
        <f>IF((ROW()-3)&lt;=('首頁'!$B$8*12),G409*'首頁'!$B$7/12/100,"")</f>
      </c>
      <c r="D409" s="42">
        <f>IF((ROW()-3)&lt;=('首頁'!$B$8*12),IF(ROW()-3=('首頁'!$B$8*12),G409,MIN(G409,'首頁'!$B$6/('首頁'!$B$8*12))),"")</f>
      </c>
      <c r="E409" s="42">
        <f>IF((ROW()-3)&lt;=('首頁'!$B$8*12),G409-D409,"")</f>
      </c>
      <c r="G409" s="39">
        <f>IF((ROW()-3)&lt;=('首頁'!$B$8*12),E408,"")</f>
      </c>
    </row>
    <row r="410" ht="22" customHeight="1" spans="1:7" x14ac:dyDescent="0.25">
      <c r="A410" s="36">
        <f>IF((ROW()-3)&lt;=('首頁'!$B$8*12),ROW()-3,"")</f>
      </c>
      <c r="B410" s="37">
        <f>IF((ROW()-3)&lt;=('首頁'!$B$8*12),C410+D410,"")</f>
      </c>
      <c r="C410" s="38">
        <f>IF((ROW()-3)&lt;=('首頁'!$B$8*12),G410*'首頁'!$B$7/12/100,"")</f>
      </c>
      <c r="D410" s="38">
        <f>IF((ROW()-3)&lt;=('首頁'!$B$8*12),IF(ROW()-3=('首頁'!$B$8*12),G410,MIN(G410,'首頁'!$B$6/('首頁'!$B$8*12))),"")</f>
      </c>
      <c r="E410" s="38">
        <f>IF((ROW()-3)&lt;=('首頁'!$B$8*12),G410-D410,"")</f>
      </c>
      <c r="G410" s="39">
        <f>IF((ROW()-3)&lt;=('首頁'!$B$8*12),E409,"")</f>
      </c>
    </row>
    <row r="411" ht="22" customHeight="1" spans="1:7" x14ac:dyDescent="0.25">
      <c r="A411" s="40">
        <f>IF((ROW()-3)&lt;=('首頁'!$B$8*12),ROW()-3,"")</f>
      </c>
      <c r="B411" s="41">
        <f>IF((ROW()-3)&lt;=('首頁'!$B$8*12),C411+D411,"")</f>
      </c>
      <c r="C411" s="42">
        <f>IF((ROW()-3)&lt;=('首頁'!$B$8*12),G411*'首頁'!$B$7/12/100,"")</f>
      </c>
      <c r="D411" s="42">
        <f>IF((ROW()-3)&lt;=('首頁'!$B$8*12),IF(ROW()-3=('首頁'!$B$8*12),G411,MIN(G411,'首頁'!$B$6/('首頁'!$B$8*12))),"")</f>
      </c>
      <c r="E411" s="42">
        <f>IF((ROW()-3)&lt;=('首頁'!$B$8*12),G411-D411,"")</f>
      </c>
      <c r="G411" s="39">
        <f>IF((ROW()-3)&lt;=('首頁'!$B$8*12),E410,"")</f>
      </c>
    </row>
    <row r="412" ht="22" customHeight="1" spans="1:7" x14ac:dyDescent="0.25">
      <c r="A412" s="36">
        <f>IF((ROW()-3)&lt;=('首頁'!$B$8*12),ROW()-3,"")</f>
      </c>
      <c r="B412" s="37">
        <f>IF((ROW()-3)&lt;=('首頁'!$B$8*12),C412+D412,"")</f>
      </c>
      <c r="C412" s="38">
        <f>IF((ROW()-3)&lt;=('首頁'!$B$8*12),G412*'首頁'!$B$7/12/100,"")</f>
      </c>
      <c r="D412" s="38">
        <f>IF((ROW()-3)&lt;=('首頁'!$B$8*12),IF(ROW()-3=('首頁'!$B$8*12),G412,MIN(G412,'首頁'!$B$6/('首頁'!$B$8*12))),"")</f>
      </c>
      <c r="E412" s="38">
        <f>IF((ROW()-3)&lt;=('首頁'!$B$8*12),G412-D412,"")</f>
      </c>
      <c r="G412" s="39">
        <f>IF((ROW()-3)&lt;=('首頁'!$B$8*12),E411,"")</f>
      </c>
    </row>
    <row r="413" ht="22" customHeight="1" spans="1:7" x14ac:dyDescent="0.25">
      <c r="A413" s="40">
        <f>IF((ROW()-3)&lt;=('首頁'!$B$8*12),ROW()-3,"")</f>
      </c>
      <c r="B413" s="41">
        <f>IF((ROW()-3)&lt;=('首頁'!$B$8*12),C413+D413,"")</f>
      </c>
      <c r="C413" s="42">
        <f>IF((ROW()-3)&lt;=('首頁'!$B$8*12),G413*'首頁'!$B$7/12/100,"")</f>
      </c>
      <c r="D413" s="42">
        <f>IF((ROW()-3)&lt;=('首頁'!$B$8*12),IF(ROW()-3=('首頁'!$B$8*12),G413,MIN(G413,'首頁'!$B$6/('首頁'!$B$8*12))),"")</f>
      </c>
      <c r="E413" s="42">
        <f>IF((ROW()-3)&lt;=('首頁'!$B$8*12),G413-D413,"")</f>
      </c>
      <c r="G413" s="39">
        <f>IF((ROW()-3)&lt;=('首頁'!$B$8*12),E412,"")</f>
      </c>
    </row>
    <row r="414" ht="22" customHeight="1" spans="1:7" x14ac:dyDescent="0.25">
      <c r="A414" s="36">
        <f>IF((ROW()-3)&lt;=('首頁'!$B$8*12),ROW()-3,"")</f>
      </c>
      <c r="B414" s="37">
        <f>IF((ROW()-3)&lt;=('首頁'!$B$8*12),C414+D414,"")</f>
      </c>
      <c r="C414" s="38">
        <f>IF((ROW()-3)&lt;=('首頁'!$B$8*12),G414*'首頁'!$B$7/12/100,"")</f>
      </c>
      <c r="D414" s="38">
        <f>IF((ROW()-3)&lt;=('首頁'!$B$8*12),IF(ROW()-3=('首頁'!$B$8*12),G414,MIN(G414,'首頁'!$B$6/('首頁'!$B$8*12))),"")</f>
      </c>
      <c r="E414" s="38">
        <f>IF((ROW()-3)&lt;=('首頁'!$B$8*12),G414-D414,"")</f>
      </c>
      <c r="G414" s="39">
        <f>IF((ROW()-3)&lt;=('首頁'!$B$8*12),E413,"")</f>
      </c>
    </row>
    <row r="415" ht="22" customHeight="1" spans="1:7" x14ac:dyDescent="0.25">
      <c r="A415" s="40">
        <f>IF((ROW()-3)&lt;=('首頁'!$B$8*12),ROW()-3,"")</f>
      </c>
      <c r="B415" s="41">
        <f>IF((ROW()-3)&lt;=('首頁'!$B$8*12),C415+D415,"")</f>
      </c>
      <c r="C415" s="42">
        <f>IF((ROW()-3)&lt;=('首頁'!$B$8*12),G415*'首頁'!$B$7/12/100,"")</f>
      </c>
      <c r="D415" s="42">
        <f>IF((ROW()-3)&lt;=('首頁'!$B$8*12),IF(ROW()-3=('首頁'!$B$8*12),G415,MIN(G415,'首頁'!$B$6/('首頁'!$B$8*12))),"")</f>
      </c>
      <c r="E415" s="42">
        <f>IF((ROW()-3)&lt;=('首頁'!$B$8*12),G415-D415,"")</f>
      </c>
      <c r="G415" s="39">
        <f>IF((ROW()-3)&lt;=('首頁'!$B$8*12),E414,"")</f>
      </c>
    </row>
    <row r="416" ht="22" customHeight="1" spans="1:7" x14ac:dyDescent="0.25">
      <c r="A416" s="36">
        <f>IF((ROW()-3)&lt;=('首頁'!$B$8*12),ROW()-3,"")</f>
      </c>
      <c r="B416" s="37">
        <f>IF((ROW()-3)&lt;=('首頁'!$B$8*12),C416+D416,"")</f>
      </c>
      <c r="C416" s="38">
        <f>IF((ROW()-3)&lt;=('首頁'!$B$8*12),G416*'首頁'!$B$7/12/100,"")</f>
      </c>
      <c r="D416" s="38">
        <f>IF((ROW()-3)&lt;=('首頁'!$B$8*12),IF(ROW()-3=('首頁'!$B$8*12),G416,MIN(G416,'首頁'!$B$6/('首頁'!$B$8*12))),"")</f>
      </c>
      <c r="E416" s="38">
        <f>IF((ROW()-3)&lt;=('首頁'!$B$8*12),G416-D416,"")</f>
      </c>
      <c r="G416" s="39">
        <f>IF((ROW()-3)&lt;=('首頁'!$B$8*12),E415,"")</f>
      </c>
    </row>
    <row r="417" ht="22" customHeight="1" spans="1:7" x14ac:dyDescent="0.25">
      <c r="A417" s="40">
        <f>IF((ROW()-3)&lt;=('首頁'!$B$8*12),ROW()-3,"")</f>
      </c>
      <c r="B417" s="41">
        <f>IF((ROW()-3)&lt;=('首頁'!$B$8*12),C417+D417,"")</f>
      </c>
      <c r="C417" s="42">
        <f>IF((ROW()-3)&lt;=('首頁'!$B$8*12),G417*'首頁'!$B$7/12/100,"")</f>
      </c>
      <c r="D417" s="42">
        <f>IF((ROW()-3)&lt;=('首頁'!$B$8*12),IF(ROW()-3=('首頁'!$B$8*12),G417,MIN(G417,'首頁'!$B$6/('首頁'!$B$8*12))),"")</f>
      </c>
      <c r="E417" s="42">
        <f>IF((ROW()-3)&lt;=('首頁'!$B$8*12),G417-D417,"")</f>
      </c>
      <c r="G417" s="39">
        <f>IF((ROW()-3)&lt;=('首頁'!$B$8*12),E416,"")</f>
      </c>
    </row>
    <row r="418" ht="22" customHeight="1" spans="1:7" x14ac:dyDescent="0.25">
      <c r="A418" s="36">
        <f>IF((ROW()-3)&lt;=('首頁'!$B$8*12),ROW()-3,"")</f>
      </c>
      <c r="B418" s="37">
        <f>IF((ROW()-3)&lt;=('首頁'!$B$8*12),C418+D418,"")</f>
      </c>
      <c r="C418" s="38">
        <f>IF((ROW()-3)&lt;=('首頁'!$B$8*12),G418*'首頁'!$B$7/12/100,"")</f>
      </c>
      <c r="D418" s="38">
        <f>IF((ROW()-3)&lt;=('首頁'!$B$8*12),IF(ROW()-3=('首頁'!$B$8*12),G418,MIN(G418,'首頁'!$B$6/('首頁'!$B$8*12))),"")</f>
      </c>
      <c r="E418" s="38">
        <f>IF((ROW()-3)&lt;=('首頁'!$B$8*12),G418-D418,"")</f>
      </c>
      <c r="G418" s="39">
        <f>IF((ROW()-3)&lt;=('首頁'!$B$8*12),E417,"")</f>
      </c>
    </row>
    <row r="419" ht="22" customHeight="1" spans="1:7" x14ac:dyDescent="0.25">
      <c r="A419" s="40">
        <f>IF((ROW()-3)&lt;=('首頁'!$B$8*12),ROW()-3,"")</f>
      </c>
      <c r="B419" s="41">
        <f>IF((ROW()-3)&lt;=('首頁'!$B$8*12),C419+D419,"")</f>
      </c>
      <c r="C419" s="42">
        <f>IF((ROW()-3)&lt;=('首頁'!$B$8*12),G419*'首頁'!$B$7/12/100,"")</f>
      </c>
      <c r="D419" s="42">
        <f>IF((ROW()-3)&lt;=('首頁'!$B$8*12),IF(ROW()-3=('首頁'!$B$8*12),G419,MIN(G419,'首頁'!$B$6/('首頁'!$B$8*12))),"")</f>
      </c>
      <c r="E419" s="42">
        <f>IF((ROW()-3)&lt;=('首頁'!$B$8*12),G419-D419,"")</f>
      </c>
      <c r="G419" s="39">
        <f>IF((ROW()-3)&lt;=('首頁'!$B$8*12),E418,"")</f>
      </c>
    </row>
    <row r="420" ht="22" customHeight="1" spans="1:7" x14ac:dyDescent="0.25">
      <c r="A420" s="36">
        <f>IF((ROW()-3)&lt;=('首頁'!$B$8*12),ROW()-3,"")</f>
      </c>
      <c r="B420" s="37">
        <f>IF((ROW()-3)&lt;=('首頁'!$B$8*12),C420+D420,"")</f>
      </c>
      <c r="C420" s="38">
        <f>IF((ROW()-3)&lt;=('首頁'!$B$8*12),G420*'首頁'!$B$7/12/100,"")</f>
      </c>
      <c r="D420" s="38">
        <f>IF((ROW()-3)&lt;=('首頁'!$B$8*12),IF(ROW()-3=('首頁'!$B$8*12),G420,MIN(G420,'首頁'!$B$6/('首頁'!$B$8*12))),"")</f>
      </c>
      <c r="E420" s="38">
        <f>IF((ROW()-3)&lt;=('首頁'!$B$8*12),G420-D420,"")</f>
      </c>
      <c r="G420" s="39">
        <f>IF((ROW()-3)&lt;=('首頁'!$B$8*12),E419,"")</f>
      </c>
    </row>
    <row r="421" ht="22" customHeight="1" spans="1:7" x14ac:dyDescent="0.25">
      <c r="A421" s="40">
        <f>IF((ROW()-3)&lt;=('首頁'!$B$8*12),ROW()-3,"")</f>
      </c>
      <c r="B421" s="41">
        <f>IF((ROW()-3)&lt;=('首頁'!$B$8*12),C421+D421,"")</f>
      </c>
      <c r="C421" s="42">
        <f>IF((ROW()-3)&lt;=('首頁'!$B$8*12),G421*'首頁'!$B$7/12/100,"")</f>
      </c>
      <c r="D421" s="42">
        <f>IF((ROW()-3)&lt;=('首頁'!$B$8*12),IF(ROW()-3=('首頁'!$B$8*12),G421,MIN(G421,'首頁'!$B$6/('首頁'!$B$8*12))),"")</f>
      </c>
      <c r="E421" s="42">
        <f>IF((ROW()-3)&lt;=('首頁'!$B$8*12),G421-D421,"")</f>
      </c>
      <c r="G421" s="39">
        <f>IF((ROW()-3)&lt;=('首頁'!$B$8*12),E420,"")</f>
      </c>
    </row>
    <row r="422" ht="22" customHeight="1" spans="1:7" x14ac:dyDescent="0.25">
      <c r="A422" s="36">
        <f>IF((ROW()-3)&lt;=('首頁'!$B$8*12),ROW()-3,"")</f>
      </c>
      <c r="B422" s="37">
        <f>IF((ROW()-3)&lt;=('首頁'!$B$8*12),C422+D422,"")</f>
      </c>
      <c r="C422" s="38">
        <f>IF((ROW()-3)&lt;=('首頁'!$B$8*12),G422*'首頁'!$B$7/12/100,"")</f>
      </c>
      <c r="D422" s="38">
        <f>IF((ROW()-3)&lt;=('首頁'!$B$8*12),IF(ROW()-3=('首頁'!$B$8*12),G422,MIN(G422,'首頁'!$B$6/('首頁'!$B$8*12))),"")</f>
      </c>
      <c r="E422" s="38">
        <f>IF((ROW()-3)&lt;=('首頁'!$B$8*12),G422-D422,"")</f>
      </c>
      <c r="G422" s="39">
        <f>IF((ROW()-3)&lt;=('首頁'!$B$8*12),E421,"")</f>
      </c>
    </row>
    <row r="423" ht="22" customHeight="1" spans="1:7" x14ac:dyDescent="0.25">
      <c r="A423" s="40">
        <f>IF((ROW()-3)&lt;=('首頁'!$B$8*12),ROW()-3,"")</f>
      </c>
      <c r="B423" s="41">
        <f>IF((ROW()-3)&lt;=('首頁'!$B$8*12),C423+D423,"")</f>
      </c>
      <c r="C423" s="42">
        <f>IF((ROW()-3)&lt;=('首頁'!$B$8*12),G423*'首頁'!$B$7/12/100,"")</f>
      </c>
      <c r="D423" s="42">
        <f>IF((ROW()-3)&lt;=('首頁'!$B$8*12),IF(ROW()-3=('首頁'!$B$8*12),G423,MIN(G423,'首頁'!$B$6/('首頁'!$B$8*12))),"")</f>
      </c>
      <c r="E423" s="42">
        <f>IF((ROW()-3)&lt;=('首頁'!$B$8*12),G423-D423,"")</f>
      </c>
      <c r="G423" s="39">
        <f>IF((ROW()-3)&lt;=('首頁'!$B$8*12),E422,"")</f>
      </c>
    </row>
    <row r="424" ht="22" customHeight="1" spans="1:7" x14ac:dyDescent="0.25">
      <c r="A424" s="36">
        <f>IF((ROW()-3)&lt;=('首頁'!$B$8*12),ROW()-3,"")</f>
      </c>
      <c r="B424" s="37">
        <f>IF((ROW()-3)&lt;=('首頁'!$B$8*12),C424+D424,"")</f>
      </c>
      <c r="C424" s="38">
        <f>IF((ROW()-3)&lt;=('首頁'!$B$8*12),G424*'首頁'!$B$7/12/100,"")</f>
      </c>
      <c r="D424" s="38">
        <f>IF((ROW()-3)&lt;=('首頁'!$B$8*12),IF(ROW()-3=('首頁'!$B$8*12),G424,MIN(G424,'首頁'!$B$6/('首頁'!$B$8*12))),"")</f>
      </c>
      <c r="E424" s="38">
        <f>IF((ROW()-3)&lt;=('首頁'!$B$8*12),G424-D424,"")</f>
      </c>
      <c r="G424" s="39">
        <f>IF((ROW()-3)&lt;=('首頁'!$B$8*12),E423,"")</f>
      </c>
    </row>
    <row r="425" ht="22" customHeight="1" spans="1:7" x14ac:dyDescent="0.25">
      <c r="A425" s="40">
        <f>IF((ROW()-3)&lt;=('首頁'!$B$8*12),ROW()-3,"")</f>
      </c>
      <c r="B425" s="41">
        <f>IF((ROW()-3)&lt;=('首頁'!$B$8*12),C425+D425,"")</f>
      </c>
      <c r="C425" s="42">
        <f>IF((ROW()-3)&lt;=('首頁'!$B$8*12),G425*'首頁'!$B$7/12/100,"")</f>
      </c>
      <c r="D425" s="42">
        <f>IF((ROW()-3)&lt;=('首頁'!$B$8*12),IF(ROW()-3=('首頁'!$B$8*12),G425,MIN(G425,'首頁'!$B$6/('首頁'!$B$8*12))),"")</f>
      </c>
      <c r="E425" s="42">
        <f>IF((ROW()-3)&lt;=('首頁'!$B$8*12),G425-D425,"")</f>
      </c>
      <c r="G425" s="39">
        <f>IF((ROW()-3)&lt;=('首頁'!$B$8*12),E424,"")</f>
      </c>
    </row>
    <row r="426" ht="22" customHeight="1" spans="1:7" x14ac:dyDescent="0.25">
      <c r="A426" s="36">
        <f>IF((ROW()-3)&lt;=('首頁'!$B$8*12),ROW()-3,"")</f>
      </c>
      <c r="B426" s="37">
        <f>IF((ROW()-3)&lt;=('首頁'!$B$8*12),C426+D426,"")</f>
      </c>
      <c r="C426" s="38">
        <f>IF((ROW()-3)&lt;=('首頁'!$B$8*12),G426*'首頁'!$B$7/12/100,"")</f>
      </c>
      <c r="D426" s="38">
        <f>IF((ROW()-3)&lt;=('首頁'!$B$8*12),IF(ROW()-3=('首頁'!$B$8*12),G426,MIN(G426,'首頁'!$B$6/('首頁'!$B$8*12))),"")</f>
      </c>
      <c r="E426" s="38">
        <f>IF((ROW()-3)&lt;=('首頁'!$B$8*12),G426-D426,"")</f>
      </c>
      <c r="G426" s="39">
        <f>IF((ROW()-3)&lt;=('首頁'!$B$8*12),E425,"")</f>
      </c>
    </row>
    <row r="427" ht="22" customHeight="1" spans="1:7" x14ac:dyDescent="0.25">
      <c r="A427" s="40">
        <f>IF((ROW()-3)&lt;=('首頁'!$B$8*12),ROW()-3,"")</f>
      </c>
      <c r="B427" s="41">
        <f>IF((ROW()-3)&lt;=('首頁'!$B$8*12),C427+D427,"")</f>
      </c>
      <c r="C427" s="42">
        <f>IF((ROW()-3)&lt;=('首頁'!$B$8*12),G427*'首頁'!$B$7/12/100,"")</f>
      </c>
      <c r="D427" s="42">
        <f>IF((ROW()-3)&lt;=('首頁'!$B$8*12),IF(ROW()-3=('首頁'!$B$8*12),G427,MIN(G427,'首頁'!$B$6/('首頁'!$B$8*12))),"")</f>
      </c>
      <c r="E427" s="42">
        <f>IF((ROW()-3)&lt;=('首頁'!$B$8*12),G427-D427,"")</f>
      </c>
      <c r="G427" s="39">
        <f>IF((ROW()-3)&lt;=('首頁'!$B$8*12),E426,"")</f>
      </c>
    </row>
    <row r="428" ht="22" customHeight="1" spans="1:7" x14ac:dyDescent="0.25">
      <c r="A428" s="36">
        <f>IF((ROW()-3)&lt;=('首頁'!$B$8*12),ROW()-3,"")</f>
      </c>
      <c r="B428" s="37">
        <f>IF((ROW()-3)&lt;=('首頁'!$B$8*12),C428+D428,"")</f>
      </c>
      <c r="C428" s="38">
        <f>IF((ROW()-3)&lt;=('首頁'!$B$8*12),G428*'首頁'!$B$7/12/100,"")</f>
      </c>
      <c r="D428" s="38">
        <f>IF((ROW()-3)&lt;=('首頁'!$B$8*12),IF(ROW()-3=('首頁'!$B$8*12),G428,MIN(G428,'首頁'!$B$6/('首頁'!$B$8*12))),"")</f>
      </c>
      <c r="E428" s="38">
        <f>IF((ROW()-3)&lt;=('首頁'!$B$8*12),G428-D428,"")</f>
      </c>
      <c r="G428" s="39">
        <f>IF((ROW()-3)&lt;=('首頁'!$B$8*12),E427,"")</f>
      </c>
    </row>
    <row r="429" ht="22" customHeight="1" spans="1:7" x14ac:dyDescent="0.25">
      <c r="A429" s="40">
        <f>IF((ROW()-3)&lt;=('首頁'!$B$8*12),ROW()-3,"")</f>
      </c>
      <c r="B429" s="41">
        <f>IF((ROW()-3)&lt;=('首頁'!$B$8*12),C429+D429,"")</f>
      </c>
      <c r="C429" s="42">
        <f>IF((ROW()-3)&lt;=('首頁'!$B$8*12),G429*'首頁'!$B$7/12/100,"")</f>
      </c>
      <c r="D429" s="42">
        <f>IF((ROW()-3)&lt;=('首頁'!$B$8*12),IF(ROW()-3=('首頁'!$B$8*12),G429,MIN(G429,'首頁'!$B$6/('首頁'!$B$8*12))),"")</f>
      </c>
      <c r="E429" s="42">
        <f>IF((ROW()-3)&lt;=('首頁'!$B$8*12),G429-D429,"")</f>
      </c>
      <c r="G429" s="39">
        <f>IF((ROW()-3)&lt;=('首頁'!$B$8*12),E428,"")</f>
      </c>
    </row>
    <row r="430" ht="22" customHeight="1" spans="1:7" x14ac:dyDescent="0.25">
      <c r="A430" s="36">
        <f>IF((ROW()-3)&lt;=('首頁'!$B$8*12),ROW()-3,"")</f>
      </c>
      <c r="B430" s="37">
        <f>IF((ROW()-3)&lt;=('首頁'!$B$8*12),C430+D430,"")</f>
      </c>
      <c r="C430" s="38">
        <f>IF((ROW()-3)&lt;=('首頁'!$B$8*12),G430*'首頁'!$B$7/12/100,"")</f>
      </c>
      <c r="D430" s="38">
        <f>IF((ROW()-3)&lt;=('首頁'!$B$8*12),IF(ROW()-3=('首頁'!$B$8*12),G430,MIN(G430,'首頁'!$B$6/('首頁'!$B$8*12))),"")</f>
      </c>
      <c r="E430" s="38">
        <f>IF((ROW()-3)&lt;=('首頁'!$B$8*12),G430-D430,"")</f>
      </c>
      <c r="G430" s="39">
        <f>IF((ROW()-3)&lt;=('首頁'!$B$8*12),E429,"")</f>
      </c>
    </row>
    <row r="431" ht="22" customHeight="1" spans="1:7" x14ac:dyDescent="0.25">
      <c r="A431" s="40">
        <f>IF((ROW()-3)&lt;=('首頁'!$B$8*12),ROW()-3,"")</f>
      </c>
      <c r="B431" s="41">
        <f>IF((ROW()-3)&lt;=('首頁'!$B$8*12),C431+D431,"")</f>
      </c>
      <c r="C431" s="42">
        <f>IF((ROW()-3)&lt;=('首頁'!$B$8*12),G431*'首頁'!$B$7/12/100,"")</f>
      </c>
      <c r="D431" s="42">
        <f>IF((ROW()-3)&lt;=('首頁'!$B$8*12),IF(ROW()-3=('首頁'!$B$8*12),G431,MIN(G431,'首頁'!$B$6/('首頁'!$B$8*12))),"")</f>
      </c>
      <c r="E431" s="42">
        <f>IF((ROW()-3)&lt;=('首頁'!$B$8*12),G431-D431,"")</f>
      </c>
      <c r="G431" s="39">
        <f>IF((ROW()-3)&lt;=('首頁'!$B$8*12),E430,"")</f>
      </c>
    </row>
    <row r="432" ht="22" customHeight="1" spans="1:7" x14ac:dyDescent="0.25">
      <c r="A432" s="36">
        <f>IF((ROW()-3)&lt;=('首頁'!$B$8*12),ROW()-3,"")</f>
      </c>
      <c r="B432" s="37">
        <f>IF((ROW()-3)&lt;=('首頁'!$B$8*12),C432+D432,"")</f>
      </c>
      <c r="C432" s="38">
        <f>IF((ROW()-3)&lt;=('首頁'!$B$8*12),G432*'首頁'!$B$7/12/100,"")</f>
      </c>
      <c r="D432" s="38">
        <f>IF((ROW()-3)&lt;=('首頁'!$B$8*12),IF(ROW()-3=('首頁'!$B$8*12),G432,MIN(G432,'首頁'!$B$6/('首頁'!$B$8*12))),"")</f>
      </c>
      <c r="E432" s="38">
        <f>IF((ROW()-3)&lt;=('首頁'!$B$8*12),G432-D432,"")</f>
      </c>
      <c r="G432" s="39">
        <f>IF((ROW()-3)&lt;=('首頁'!$B$8*12),E431,"")</f>
      </c>
    </row>
    <row r="433" ht="22" customHeight="1" spans="1:7" x14ac:dyDescent="0.25">
      <c r="A433" s="40">
        <f>IF((ROW()-3)&lt;=('首頁'!$B$8*12),ROW()-3,"")</f>
      </c>
      <c r="B433" s="41">
        <f>IF((ROW()-3)&lt;=('首頁'!$B$8*12),C433+D433,"")</f>
      </c>
      <c r="C433" s="42">
        <f>IF((ROW()-3)&lt;=('首頁'!$B$8*12),G433*'首頁'!$B$7/12/100,"")</f>
      </c>
      <c r="D433" s="42">
        <f>IF((ROW()-3)&lt;=('首頁'!$B$8*12),IF(ROW()-3=('首頁'!$B$8*12),G433,MIN(G433,'首頁'!$B$6/('首頁'!$B$8*12))),"")</f>
      </c>
      <c r="E433" s="42">
        <f>IF((ROW()-3)&lt;=('首頁'!$B$8*12),G433-D433,"")</f>
      </c>
      <c r="G433" s="39">
        <f>IF((ROW()-3)&lt;=('首頁'!$B$8*12),E432,"")</f>
      </c>
    </row>
    <row r="434" ht="22" customHeight="1" spans="1:7" x14ac:dyDescent="0.25">
      <c r="A434" s="36">
        <f>IF((ROW()-3)&lt;=('首頁'!$B$8*12),ROW()-3,"")</f>
      </c>
      <c r="B434" s="37">
        <f>IF((ROW()-3)&lt;=('首頁'!$B$8*12),C434+D434,"")</f>
      </c>
      <c r="C434" s="38">
        <f>IF((ROW()-3)&lt;=('首頁'!$B$8*12),G434*'首頁'!$B$7/12/100,"")</f>
      </c>
      <c r="D434" s="38">
        <f>IF((ROW()-3)&lt;=('首頁'!$B$8*12),IF(ROW()-3=('首頁'!$B$8*12),G434,MIN(G434,'首頁'!$B$6/('首頁'!$B$8*12))),"")</f>
      </c>
      <c r="E434" s="38">
        <f>IF((ROW()-3)&lt;=('首頁'!$B$8*12),G434-D434,"")</f>
      </c>
      <c r="G434" s="39">
        <f>IF((ROW()-3)&lt;=('首頁'!$B$8*12),E433,"")</f>
      </c>
    </row>
    <row r="435" ht="22" customHeight="1" spans="1:7" x14ac:dyDescent="0.25">
      <c r="A435" s="40">
        <f>IF((ROW()-3)&lt;=('首頁'!$B$8*12),ROW()-3,"")</f>
      </c>
      <c r="B435" s="41">
        <f>IF((ROW()-3)&lt;=('首頁'!$B$8*12),C435+D435,"")</f>
      </c>
      <c r="C435" s="42">
        <f>IF((ROW()-3)&lt;=('首頁'!$B$8*12),G435*'首頁'!$B$7/12/100,"")</f>
      </c>
      <c r="D435" s="42">
        <f>IF((ROW()-3)&lt;=('首頁'!$B$8*12),IF(ROW()-3=('首頁'!$B$8*12),G435,MIN(G435,'首頁'!$B$6/('首頁'!$B$8*12))),"")</f>
      </c>
      <c r="E435" s="42">
        <f>IF((ROW()-3)&lt;=('首頁'!$B$8*12),G435-D435,"")</f>
      </c>
      <c r="G435" s="39">
        <f>IF((ROW()-3)&lt;=('首頁'!$B$8*12),E434,"")</f>
      </c>
    </row>
    <row r="436" ht="22" customHeight="1" spans="1:7" x14ac:dyDescent="0.25">
      <c r="A436" s="36">
        <f>IF((ROW()-3)&lt;=('首頁'!$B$8*12),ROW()-3,"")</f>
      </c>
      <c r="B436" s="37">
        <f>IF((ROW()-3)&lt;=('首頁'!$B$8*12),C436+D436,"")</f>
      </c>
      <c r="C436" s="38">
        <f>IF((ROW()-3)&lt;=('首頁'!$B$8*12),G436*'首頁'!$B$7/12/100,"")</f>
      </c>
      <c r="D436" s="38">
        <f>IF((ROW()-3)&lt;=('首頁'!$B$8*12),IF(ROW()-3=('首頁'!$B$8*12),G436,MIN(G436,'首頁'!$B$6/('首頁'!$B$8*12))),"")</f>
      </c>
      <c r="E436" s="38">
        <f>IF((ROW()-3)&lt;=('首頁'!$B$8*12),G436-D436,"")</f>
      </c>
      <c r="G436" s="39">
        <f>IF((ROW()-3)&lt;=('首頁'!$B$8*12),E435,"")</f>
      </c>
    </row>
    <row r="437" ht="22" customHeight="1" spans="1:7" x14ac:dyDescent="0.25">
      <c r="A437" s="40">
        <f>IF((ROW()-3)&lt;=('首頁'!$B$8*12),ROW()-3,"")</f>
      </c>
      <c r="B437" s="41">
        <f>IF((ROW()-3)&lt;=('首頁'!$B$8*12),C437+D437,"")</f>
      </c>
      <c r="C437" s="42">
        <f>IF((ROW()-3)&lt;=('首頁'!$B$8*12),G437*'首頁'!$B$7/12/100,"")</f>
      </c>
      <c r="D437" s="42">
        <f>IF((ROW()-3)&lt;=('首頁'!$B$8*12),IF(ROW()-3=('首頁'!$B$8*12),G437,MIN(G437,'首頁'!$B$6/('首頁'!$B$8*12))),"")</f>
      </c>
      <c r="E437" s="42">
        <f>IF((ROW()-3)&lt;=('首頁'!$B$8*12),G437-D437,"")</f>
      </c>
      <c r="G437" s="39">
        <f>IF((ROW()-3)&lt;=('首頁'!$B$8*12),E436,"")</f>
      </c>
    </row>
    <row r="438" ht="22" customHeight="1" spans="1:7" x14ac:dyDescent="0.25">
      <c r="A438" s="36">
        <f>IF((ROW()-3)&lt;=('首頁'!$B$8*12),ROW()-3,"")</f>
      </c>
      <c r="B438" s="37">
        <f>IF((ROW()-3)&lt;=('首頁'!$B$8*12),C438+D438,"")</f>
      </c>
      <c r="C438" s="38">
        <f>IF((ROW()-3)&lt;=('首頁'!$B$8*12),G438*'首頁'!$B$7/12/100,"")</f>
      </c>
      <c r="D438" s="38">
        <f>IF((ROW()-3)&lt;=('首頁'!$B$8*12),IF(ROW()-3=('首頁'!$B$8*12),G438,MIN(G438,'首頁'!$B$6/('首頁'!$B$8*12))),"")</f>
      </c>
      <c r="E438" s="38">
        <f>IF((ROW()-3)&lt;=('首頁'!$B$8*12),G438-D438,"")</f>
      </c>
      <c r="G438" s="39">
        <f>IF((ROW()-3)&lt;=('首頁'!$B$8*12),E437,"")</f>
      </c>
    </row>
    <row r="439" ht="22" customHeight="1" spans="1:7" x14ac:dyDescent="0.25">
      <c r="A439" s="40">
        <f>IF((ROW()-3)&lt;=('首頁'!$B$8*12),ROW()-3,"")</f>
      </c>
      <c r="B439" s="41">
        <f>IF((ROW()-3)&lt;=('首頁'!$B$8*12),C439+D439,"")</f>
      </c>
      <c r="C439" s="42">
        <f>IF((ROW()-3)&lt;=('首頁'!$B$8*12),G439*'首頁'!$B$7/12/100,"")</f>
      </c>
      <c r="D439" s="42">
        <f>IF((ROW()-3)&lt;=('首頁'!$B$8*12),IF(ROW()-3=('首頁'!$B$8*12),G439,MIN(G439,'首頁'!$B$6/('首頁'!$B$8*12))),"")</f>
      </c>
      <c r="E439" s="42">
        <f>IF((ROW()-3)&lt;=('首頁'!$B$8*12),G439-D439,"")</f>
      </c>
      <c r="G439" s="39">
        <f>IF((ROW()-3)&lt;=('首頁'!$B$8*12),E438,"")</f>
      </c>
    </row>
    <row r="440" ht="22" customHeight="1" spans="1:7" x14ac:dyDescent="0.25">
      <c r="A440" s="36">
        <f>IF((ROW()-3)&lt;=('首頁'!$B$8*12),ROW()-3,"")</f>
      </c>
      <c r="B440" s="37">
        <f>IF((ROW()-3)&lt;=('首頁'!$B$8*12),C440+D440,"")</f>
      </c>
      <c r="C440" s="38">
        <f>IF((ROW()-3)&lt;=('首頁'!$B$8*12),G440*'首頁'!$B$7/12/100,"")</f>
      </c>
      <c r="D440" s="38">
        <f>IF((ROW()-3)&lt;=('首頁'!$B$8*12),IF(ROW()-3=('首頁'!$B$8*12),G440,MIN(G440,'首頁'!$B$6/('首頁'!$B$8*12))),"")</f>
      </c>
      <c r="E440" s="38">
        <f>IF((ROW()-3)&lt;=('首頁'!$B$8*12),G440-D440,"")</f>
      </c>
      <c r="G440" s="39">
        <f>IF((ROW()-3)&lt;=('首頁'!$B$8*12),E439,"")</f>
      </c>
    </row>
    <row r="441" ht="22" customHeight="1" spans="1:7" x14ac:dyDescent="0.25">
      <c r="A441" s="40">
        <f>IF((ROW()-3)&lt;=('首頁'!$B$8*12),ROW()-3,"")</f>
      </c>
      <c r="B441" s="41">
        <f>IF((ROW()-3)&lt;=('首頁'!$B$8*12),C441+D441,"")</f>
      </c>
      <c r="C441" s="42">
        <f>IF((ROW()-3)&lt;=('首頁'!$B$8*12),G441*'首頁'!$B$7/12/100,"")</f>
      </c>
      <c r="D441" s="42">
        <f>IF((ROW()-3)&lt;=('首頁'!$B$8*12),IF(ROW()-3=('首頁'!$B$8*12),G441,MIN(G441,'首頁'!$B$6/('首頁'!$B$8*12))),"")</f>
      </c>
      <c r="E441" s="42">
        <f>IF((ROW()-3)&lt;=('首頁'!$B$8*12),G441-D441,"")</f>
      </c>
      <c r="G441" s="39">
        <f>IF((ROW()-3)&lt;=('首頁'!$B$8*12),E440,"")</f>
      </c>
    </row>
    <row r="442" ht="22" customHeight="1" spans="1:7" x14ac:dyDescent="0.25">
      <c r="A442" s="36">
        <f>IF((ROW()-3)&lt;=('首頁'!$B$8*12),ROW()-3,"")</f>
      </c>
      <c r="B442" s="37">
        <f>IF((ROW()-3)&lt;=('首頁'!$B$8*12),C442+D442,"")</f>
      </c>
      <c r="C442" s="38">
        <f>IF((ROW()-3)&lt;=('首頁'!$B$8*12),G442*'首頁'!$B$7/12/100,"")</f>
      </c>
      <c r="D442" s="38">
        <f>IF((ROW()-3)&lt;=('首頁'!$B$8*12),IF(ROW()-3=('首頁'!$B$8*12),G442,MIN(G442,'首頁'!$B$6/('首頁'!$B$8*12))),"")</f>
      </c>
      <c r="E442" s="38">
        <f>IF((ROW()-3)&lt;=('首頁'!$B$8*12),G442-D442,"")</f>
      </c>
      <c r="G442" s="39">
        <f>IF((ROW()-3)&lt;=('首頁'!$B$8*12),E441,"")</f>
      </c>
    </row>
    <row r="443" ht="22" customHeight="1" spans="1:7" x14ac:dyDescent="0.25">
      <c r="A443" s="40">
        <f>IF((ROW()-3)&lt;=('首頁'!$B$8*12),ROW()-3,"")</f>
      </c>
      <c r="B443" s="41">
        <f>IF((ROW()-3)&lt;=('首頁'!$B$8*12),C443+D443,"")</f>
      </c>
      <c r="C443" s="42">
        <f>IF((ROW()-3)&lt;=('首頁'!$B$8*12),G443*'首頁'!$B$7/12/100,"")</f>
      </c>
      <c r="D443" s="42">
        <f>IF((ROW()-3)&lt;=('首頁'!$B$8*12),IF(ROW()-3=('首頁'!$B$8*12),G443,MIN(G443,'首頁'!$B$6/('首頁'!$B$8*12))),"")</f>
      </c>
      <c r="E443" s="42">
        <f>IF((ROW()-3)&lt;=('首頁'!$B$8*12),G443-D443,"")</f>
      </c>
      <c r="G443" s="39">
        <f>IF((ROW()-3)&lt;=('首頁'!$B$8*12),E442,"")</f>
      </c>
    </row>
    <row r="444" ht="22" customHeight="1" spans="1:7" x14ac:dyDescent="0.25">
      <c r="A444" s="36">
        <f>IF((ROW()-3)&lt;=('首頁'!$B$8*12),ROW()-3,"")</f>
      </c>
      <c r="B444" s="37">
        <f>IF((ROW()-3)&lt;=('首頁'!$B$8*12),C444+D444,"")</f>
      </c>
      <c r="C444" s="38">
        <f>IF((ROW()-3)&lt;=('首頁'!$B$8*12),G444*'首頁'!$B$7/12/100,"")</f>
      </c>
      <c r="D444" s="38">
        <f>IF((ROW()-3)&lt;=('首頁'!$B$8*12),IF(ROW()-3=('首頁'!$B$8*12),G444,MIN(G444,'首頁'!$B$6/('首頁'!$B$8*12))),"")</f>
      </c>
      <c r="E444" s="38">
        <f>IF((ROW()-3)&lt;=('首頁'!$B$8*12),G444-D444,"")</f>
      </c>
      <c r="G444" s="39">
        <f>IF((ROW()-3)&lt;=('首頁'!$B$8*12),E443,"")</f>
      </c>
    </row>
    <row r="445" ht="22" customHeight="1" spans="1:7" x14ac:dyDescent="0.25">
      <c r="A445" s="40">
        <f>IF((ROW()-3)&lt;=('首頁'!$B$8*12),ROW()-3,"")</f>
      </c>
      <c r="B445" s="41">
        <f>IF((ROW()-3)&lt;=('首頁'!$B$8*12),C445+D445,"")</f>
      </c>
      <c r="C445" s="42">
        <f>IF((ROW()-3)&lt;=('首頁'!$B$8*12),G445*'首頁'!$B$7/12/100,"")</f>
      </c>
      <c r="D445" s="42">
        <f>IF((ROW()-3)&lt;=('首頁'!$B$8*12),IF(ROW()-3=('首頁'!$B$8*12),G445,MIN(G445,'首頁'!$B$6/('首頁'!$B$8*12))),"")</f>
      </c>
      <c r="E445" s="42">
        <f>IF((ROW()-3)&lt;=('首頁'!$B$8*12),G445-D445,"")</f>
      </c>
      <c r="G445" s="39">
        <f>IF((ROW()-3)&lt;=('首頁'!$B$8*12),E444,"")</f>
      </c>
    </row>
    <row r="446" ht="22" customHeight="1" spans="1:7" x14ac:dyDescent="0.25">
      <c r="A446" s="36">
        <f>IF((ROW()-3)&lt;=('首頁'!$B$8*12),ROW()-3,"")</f>
      </c>
      <c r="B446" s="37">
        <f>IF((ROW()-3)&lt;=('首頁'!$B$8*12),C446+D446,"")</f>
      </c>
      <c r="C446" s="38">
        <f>IF((ROW()-3)&lt;=('首頁'!$B$8*12),G446*'首頁'!$B$7/12/100,"")</f>
      </c>
      <c r="D446" s="38">
        <f>IF((ROW()-3)&lt;=('首頁'!$B$8*12),IF(ROW()-3=('首頁'!$B$8*12),G446,MIN(G446,'首頁'!$B$6/('首頁'!$B$8*12))),"")</f>
      </c>
      <c r="E446" s="38">
        <f>IF((ROW()-3)&lt;=('首頁'!$B$8*12),G446-D446,"")</f>
      </c>
      <c r="G446" s="39">
        <f>IF((ROW()-3)&lt;=('首頁'!$B$8*12),E445,"")</f>
      </c>
    </row>
    <row r="447" ht="22" customHeight="1" spans="1:7" x14ac:dyDescent="0.25">
      <c r="A447" s="40">
        <f>IF((ROW()-3)&lt;=('首頁'!$B$8*12),ROW()-3,"")</f>
      </c>
      <c r="B447" s="41">
        <f>IF((ROW()-3)&lt;=('首頁'!$B$8*12),C447+D447,"")</f>
      </c>
      <c r="C447" s="42">
        <f>IF((ROW()-3)&lt;=('首頁'!$B$8*12),G447*'首頁'!$B$7/12/100,"")</f>
      </c>
      <c r="D447" s="42">
        <f>IF((ROW()-3)&lt;=('首頁'!$B$8*12),IF(ROW()-3=('首頁'!$B$8*12),G447,MIN(G447,'首頁'!$B$6/('首頁'!$B$8*12))),"")</f>
      </c>
      <c r="E447" s="42">
        <f>IF((ROW()-3)&lt;=('首頁'!$B$8*12),G447-D447,"")</f>
      </c>
      <c r="G447" s="39">
        <f>IF((ROW()-3)&lt;=('首頁'!$B$8*12),E446,"")</f>
      </c>
    </row>
    <row r="448" ht="22" customHeight="1" spans="1:7" x14ac:dyDescent="0.25">
      <c r="A448" s="36">
        <f>IF((ROW()-3)&lt;=('首頁'!$B$8*12),ROW()-3,"")</f>
      </c>
      <c r="B448" s="37">
        <f>IF((ROW()-3)&lt;=('首頁'!$B$8*12),C448+D448,"")</f>
      </c>
      <c r="C448" s="38">
        <f>IF((ROW()-3)&lt;=('首頁'!$B$8*12),G448*'首頁'!$B$7/12/100,"")</f>
      </c>
      <c r="D448" s="38">
        <f>IF((ROW()-3)&lt;=('首頁'!$B$8*12),IF(ROW()-3=('首頁'!$B$8*12),G448,MIN(G448,'首頁'!$B$6/('首頁'!$B$8*12))),"")</f>
      </c>
      <c r="E448" s="38">
        <f>IF((ROW()-3)&lt;=('首頁'!$B$8*12),G448-D448,"")</f>
      </c>
      <c r="G448" s="39">
        <f>IF((ROW()-3)&lt;=('首頁'!$B$8*12),E447,"")</f>
      </c>
    </row>
    <row r="449" ht="22" customHeight="1" spans="1:7" x14ac:dyDescent="0.25">
      <c r="A449" s="40">
        <f>IF((ROW()-3)&lt;=('首頁'!$B$8*12),ROW()-3,"")</f>
      </c>
      <c r="B449" s="41">
        <f>IF((ROW()-3)&lt;=('首頁'!$B$8*12),C449+D449,"")</f>
      </c>
      <c r="C449" s="42">
        <f>IF((ROW()-3)&lt;=('首頁'!$B$8*12),G449*'首頁'!$B$7/12/100,"")</f>
      </c>
      <c r="D449" s="42">
        <f>IF((ROW()-3)&lt;=('首頁'!$B$8*12),IF(ROW()-3=('首頁'!$B$8*12),G449,MIN(G449,'首頁'!$B$6/('首頁'!$B$8*12))),"")</f>
      </c>
      <c r="E449" s="42">
        <f>IF((ROW()-3)&lt;=('首頁'!$B$8*12),G449-D449,"")</f>
      </c>
      <c r="G449" s="39">
        <f>IF((ROW()-3)&lt;=('首頁'!$B$8*12),E448,"")</f>
      </c>
    </row>
    <row r="450" ht="22" customHeight="1" spans="1:7" x14ac:dyDescent="0.25">
      <c r="A450" s="36">
        <f>IF((ROW()-3)&lt;=('首頁'!$B$8*12),ROW()-3,"")</f>
      </c>
      <c r="B450" s="37">
        <f>IF((ROW()-3)&lt;=('首頁'!$B$8*12),C450+D450,"")</f>
      </c>
      <c r="C450" s="38">
        <f>IF((ROW()-3)&lt;=('首頁'!$B$8*12),G450*'首頁'!$B$7/12/100,"")</f>
      </c>
      <c r="D450" s="38">
        <f>IF((ROW()-3)&lt;=('首頁'!$B$8*12),IF(ROW()-3=('首頁'!$B$8*12),G450,MIN(G450,'首頁'!$B$6/('首頁'!$B$8*12))),"")</f>
      </c>
      <c r="E450" s="38">
        <f>IF((ROW()-3)&lt;=('首頁'!$B$8*12),G450-D450,"")</f>
      </c>
      <c r="G450" s="39">
        <f>IF((ROW()-3)&lt;=('首頁'!$B$8*12),E449,"")</f>
      </c>
    </row>
    <row r="451" ht="22" customHeight="1" spans="1:7" x14ac:dyDescent="0.25">
      <c r="A451" s="40">
        <f>IF((ROW()-3)&lt;=('首頁'!$B$8*12),ROW()-3,"")</f>
      </c>
      <c r="B451" s="41">
        <f>IF((ROW()-3)&lt;=('首頁'!$B$8*12),C451+D451,"")</f>
      </c>
      <c r="C451" s="42">
        <f>IF((ROW()-3)&lt;=('首頁'!$B$8*12),G451*'首頁'!$B$7/12/100,"")</f>
      </c>
      <c r="D451" s="42">
        <f>IF((ROW()-3)&lt;=('首頁'!$B$8*12),IF(ROW()-3=('首頁'!$B$8*12),G451,MIN(G451,'首頁'!$B$6/('首頁'!$B$8*12))),"")</f>
      </c>
      <c r="E451" s="42">
        <f>IF((ROW()-3)&lt;=('首頁'!$B$8*12),G451-D451,"")</f>
      </c>
      <c r="G451" s="39">
        <f>IF((ROW()-3)&lt;=('首頁'!$B$8*12),E450,"")</f>
      </c>
    </row>
    <row r="452" ht="22" customHeight="1" spans="1:7" x14ac:dyDescent="0.25">
      <c r="A452" s="36">
        <f>IF((ROW()-3)&lt;=('首頁'!$B$8*12),ROW()-3,"")</f>
      </c>
      <c r="B452" s="37">
        <f>IF((ROW()-3)&lt;=('首頁'!$B$8*12),C452+D452,"")</f>
      </c>
      <c r="C452" s="38">
        <f>IF((ROW()-3)&lt;=('首頁'!$B$8*12),G452*'首頁'!$B$7/12/100,"")</f>
      </c>
      <c r="D452" s="38">
        <f>IF((ROW()-3)&lt;=('首頁'!$B$8*12),IF(ROW()-3=('首頁'!$B$8*12),G452,MIN(G452,'首頁'!$B$6/('首頁'!$B$8*12))),"")</f>
      </c>
      <c r="E452" s="38">
        <f>IF((ROW()-3)&lt;=('首頁'!$B$8*12),G452-D452,"")</f>
      </c>
      <c r="G452" s="39">
        <f>IF((ROW()-3)&lt;=('首頁'!$B$8*12),E451,"")</f>
      </c>
    </row>
    <row r="453" ht="22" customHeight="1" spans="1:7" x14ac:dyDescent="0.25">
      <c r="A453" s="40">
        <f>IF((ROW()-3)&lt;=('首頁'!$B$8*12),ROW()-3,"")</f>
      </c>
      <c r="B453" s="41">
        <f>IF((ROW()-3)&lt;=('首頁'!$B$8*12),C453+D453,"")</f>
      </c>
      <c r="C453" s="42">
        <f>IF((ROW()-3)&lt;=('首頁'!$B$8*12),G453*'首頁'!$B$7/12/100,"")</f>
      </c>
      <c r="D453" s="42">
        <f>IF((ROW()-3)&lt;=('首頁'!$B$8*12),IF(ROW()-3=('首頁'!$B$8*12),G453,MIN(G453,'首頁'!$B$6/('首頁'!$B$8*12))),"")</f>
      </c>
      <c r="E453" s="42">
        <f>IF((ROW()-3)&lt;=('首頁'!$B$8*12),G453-D453,"")</f>
      </c>
      <c r="G453" s="39">
        <f>IF((ROW()-3)&lt;=('首頁'!$B$8*12),E452,"")</f>
      </c>
    </row>
    <row r="454" ht="22" customHeight="1" spans="1:7" x14ac:dyDescent="0.25">
      <c r="A454" s="36">
        <f>IF((ROW()-3)&lt;=('首頁'!$B$8*12),ROW()-3,"")</f>
      </c>
      <c r="B454" s="37">
        <f>IF((ROW()-3)&lt;=('首頁'!$B$8*12),C454+D454,"")</f>
      </c>
      <c r="C454" s="38">
        <f>IF((ROW()-3)&lt;=('首頁'!$B$8*12),G454*'首頁'!$B$7/12/100,"")</f>
      </c>
      <c r="D454" s="38">
        <f>IF((ROW()-3)&lt;=('首頁'!$B$8*12),IF(ROW()-3=('首頁'!$B$8*12),G454,MIN(G454,'首頁'!$B$6/('首頁'!$B$8*12))),"")</f>
      </c>
      <c r="E454" s="38">
        <f>IF((ROW()-3)&lt;=('首頁'!$B$8*12),G454-D454,"")</f>
      </c>
      <c r="G454" s="39">
        <f>IF((ROW()-3)&lt;=('首頁'!$B$8*12),E453,"")</f>
      </c>
    </row>
    <row r="455" ht="22" customHeight="1" spans="1:7" x14ac:dyDescent="0.25">
      <c r="A455" s="40">
        <f>IF((ROW()-3)&lt;=('首頁'!$B$8*12),ROW()-3,"")</f>
      </c>
      <c r="B455" s="41">
        <f>IF((ROW()-3)&lt;=('首頁'!$B$8*12),C455+D455,"")</f>
      </c>
      <c r="C455" s="42">
        <f>IF((ROW()-3)&lt;=('首頁'!$B$8*12),G455*'首頁'!$B$7/12/100,"")</f>
      </c>
      <c r="D455" s="42">
        <f>IF((ROW()-3)&lt;=('首頁'!$B$8*12),IF(ROW()-3=('首頁'!$B$8*12),G455,MIN(G455,'首頁'!$B$6/('首頁'!$B$8*12))),"")</f>
      </c>
      <c r="E455" s="42">
        <f>IF((ROW()-3)&lt;=('首頁'!$B$8*12),G455-D455,"")</f>
      </c>
      <c r="G455" s="39">
        <f>IF((ROW()-3)&lt;=('首頁'!$B$8*12),E454,"")</f>
      </c>
    </row>
    <row r="456" ht="22" customHeight="1" spans="1:7" x14ac:dyDescent="0.25">
      <c r="A456" s="36">
        <f>IF((ROW()-3)&lt;=('首頁'!$B$8*12),ROW()-3,"")</f>
      </c>
      <c r="B456" s="37">
        <f>IF((ROW()-3)&lt;=('首頁'!$B$8*12),C456+D456,"")</f>
      </c>
      <c r="C456" s="38">
        <f>IF((ROW()-3)&lt;=('首頁'!$B$8*12),G456*'首頁'!$B$7/12/100,"")</f>
      </c>
      <c r="D456" s="38">
        <f>IF((ROW()-3)&lt;=('首頁'!$B$8*12),IF(ROW()-3=('首頁'!$B$8*12),G456,MIN(G456,'首頁'!$B$6/('首頁'!$B$8*12))),"")</f>
      </c>
      <c r="E456" s="38">
        <f>IF((ROW()-3)&lt;=('首頁'!$B$8*12),G456-D456,"")</f>
      </c>
      <c r="G456" s="39">
        <f>IF((ROW()-3)&lt;=('首頁'!$B$8*12),E455,"")</f>
      </c>
    </row>
    <row r="457" ht="22" customHeight="1" spans="1:7" x14ac:dyDescent="0.25">
      <c r="A457" s="40">
        <f>IF((ROW()-3)&lt;=('首頁'!$B$8*12),ROW()-3,"")</f>
      </c>
      <c r="B457" s="41">
        <f>IF((ROW()-3)&lt;=('首頁'!$B$8*12),C457+D457,"")</f>
      </c>
      <c r="C457" s="42">
        <f>IF((ROW()-3)&lt;=('首頁'!$B$8*12),G457*'首頁'!$B$7/12/100,"")</f>
      </c>
      <c r="D457" s="42">
        <f>IF((ROW()-3)&lt;=('首頁'!$B$8*12),IF(ROW()-3=('首頁'!$B$8*12),G457,MIN(G457,'首頁'!$B$6/('首頁'!$B$8*12))),"")</f>
      </c>
      <c r="E457" s="42">
        <f>IF((ROW()-3)&lt;=('首頁'!$B$8*12),G457-D457,"")</f>
      </c>
      <c r="G457" s="39">
        <f>IF((ROW()-3)&lt;=('首頁'!$B$8*12),E456,"")</f>
      </c>
    </row>
    <row r="458" ht="22" customHeight="1" spans="1:7" x14ac:dyDescent="0.25">
      <c r="A458" s="36">
        <f>IF((ROW()-3)&lt;=('首頁'!$B$8*12),ROW()-3,"")</f>
      </c>
      <c r="B458" s="37">
        <f>IF((ROW()-3)&lt;=('首頁'!$B$8*12),C458+D458,"")</f>
      </c>
      <c r="C458" s="38">
        <f>IF((ROW()-3)&lt;=('首頁'!$B$8*12),G458*'首頁'!$B$7/12/100,"")</f>
      </c>
      <c r="D458" s="38">
        <f>IF((ROW()-3)&lt;=('首頁'!$B$8*12),IF(ROW()-3=('首頁'!$B$8*12),G458,MIN(G458,'首頁'!$B$6/('首頁'!$B$8*12))),"")</f>
      </c>
      <c r="E458" s="38">
        <f>IF((ROW()-3)&lt;=('首頁'!$B$8*12),G458-D458,"")</f>
      </c>
      <c r="G458" s="39">
        <f>IF((ROW()-3)&lt;=('首頁'!$B$8*12),E457,"")</f>
      </c>
    </row>
    <row r="459" ht="22" customHeight="1" spans="1:7" x14ac:dyDescent="0.25">
      <c r="A459" s="40">
        <f>IF((ROW()-3)&lt;=('首頁'!$B$8*12),ROW()-3,"")</f>
      </c>
      <c r="B459" s="41">
        <f>IF((ROW()-3)&lt;=('首頁'!$B$8*12),C459+D459,"")</f>
      </c>
      <c r="C459" s="42">
        <f>IF((ROW()-3)&lt;=('首頁'!$B$8*12),G459*'首頁'!$B$7/12/100,"")</f>
      </c>
      <c r="D459" s="42">
        <f>IF((ROW()-3)&lt;=('首頁'!$B$8*12),IF(ROW()-3=('首頁'!$B$8*12),G459,MIN(G459,'首頁'!$B$6/('首頁'!$B$8*12))),"")</f>
      </c>
      <c r="E459" s="42">
        <f>IF((ROW()-3)&lt;=('首頁'!$B$8*12),G459-D459,"")</f>
      </c>
      <c r="G459" s="39">
        <f>IF((ROW()-3)&lt;=('首頁'!$B$8*12),E458,"")</f>
      </c>
    </row>
    <row r="460" ht="22" customHeight="1" spans="1:7" x14ac:dyDescent="0.25">
      <c r="A460" s="36">
        <f>IF((ROW()-3)&lt;=('首頁'!$B$8*12),ROW()-3,"")</f>
      </c>
      <c r="B460" s="37">
        <f>IF((ROW()-3)&lt;=('首頁'!$B$8*12),C460+D460,"")</f>
      </c>
      <c r="C460" s="38">
        <f>IF((ROW()-3)&lt;=('首頁'!$B$8*12),G460*'首頁'!$B$7/12/100,"")</f>
      </c>
      <c r="D460" s="38">
        <f>IF((ROW()-3)&lt;=('首頁'!$B$8*12),IF(ROW()-3=('首頁'!$B$8*12),G460,MIN(G460,'首頁'!$B$6/('首頁'!$B$8*12))),"")</f>
      </c>
      <c r="E460" s="38">
        <f>IF((ROW()-3)&lt;=('首頁'!$B$8*12),G460-D460,"")</f>
      </c>
      <c r="G460" s="39">
        <f>IF((ROW()-3)&lt;=('首頁'!$B$8*12),E459,"")</f>
      </c>
    </row>
    <row r="461" ht="22" customHeight="1" spans="1:7" x14ac:dyDescent="0.25">
      <c r="A461" s="40">
        <f>IF((ROW()-3)&lt;=('首頁'!$B$8*12),ROW()-3,"")</f>
      </c>
      <c r="B461" s="41">
        <f>IF((ROW()-3)&lt;=('首頁'!$B$8*12),C461+D461,"")</f>
      </c>
      <c r="C461" s="42">
        <f>IF((ROW()-3)&lt;=('首頁'!$B$8*12),G461*'首頁'!$B$7/12/100,"")</f>
      </c>
      <c r="D461" s="42">
        <f>IF((ROW()-3)&lt;=('首頁'!$B$8*12),IF(ROW()-3=('首頁'!$B$8*12),G461,MIN(G461,'首頁'!$B$6/('首頁'!$B$8*12))),"")</f>
      </c>
      <c r="E461" s="42">
        <f>IF((ROW()-3)&lt;=('首頁'!$B$8*12),G461-D461,"")</f>
      </c>
      <c r="G461" s="39">
        <f>IF((ROW()-3)&lt;=('首頁'!$B$8*12),E460,"")</f>
      </c>
    </row>
    <row r="462" ht="22" customHeight="1" spans="1:7" x14ac:dyDescent="0.25">
      <c r="A462" s="36">
        <f>IF((ROW()-3)&lt;=('首頁'!$B$8*12),ROW()-3,"")</f>
      </c>
      <c r="B462" s="37">
        <f>IF((ROW()-3)&lt;=('首頁'!$B$8*12),C462+D462,"")</f>
      </c>
      <c r="C462" s="38">
        <f>IF((ROW()-3)&lt;=('首頁'!$B$8*12),G462*'首頁'!$B$7/12/100,"")</f>
      </c>
      <c r="D462" s="38">
        <f>IF((ROW()-3)&lt;=('首頁'!$B$8*12),IF(ROW()-3=('首頁'!$B$8*12),G462,MIN(G462,'首頁'!$B$6/('首頁'!$B$8*12))),"")</f>
      </c>
      <c r="E462" s="38">
        <f>IF((ROW()-3)&lt;=('首頁'!$B$8*12),G462-D462,"")</f>
      </c>
      <c r="G462" s="39">
        <f>IF((ROW()-3)&lt;=('首頁'!$B$8*12),E461,"")</f>
      </c>
    </row>
    <row r="463" ht="22" customHeight="1" spans="1:7" x14ac:dyDescent="0.25">
      <c r="A463" s="40">
        <f>IF((ROW()-3)&lt;=('首頁'!$B$8*12),ROW()-3,"")</f>
      </c>
      <c r="B463" s="41">
        <f>IF((ROW()-3)&lt;=('首頁'!$B$8*12),C463+D463,"")</f>
      </c>
      <c r="C463" s="42">
        <f>IF((ROW()-3)&lt;=('首頁'!$B$8*12),G463*'首頁'!$B$7/12/100,"")</f>
      </c>
      <c r="D463" s="42">
        <f>IF((ROW()-3)&lt;=('首頁'!$B$8*12),IF(ROW()-3=('首頁'!$B$8*12),G463,MIN(G463,'首頁'!$B$6/('首頁'!$B$8*12))),"")</f>
      </c>
      <c r="E463" s="42">
        <f>IF((ROW()-3)&lt;=('首頁'!$B$8*12),G463-D463,"")</f>
      </c>
      <c r="G463" s="39">
        <f>IF((ROW()-3)&lt;=('首頁'!$B$8*12),E462,"")</f>
      </c>
    </row>
    <row r="464" ht="22" customHeight="1" spans="1:7" x14ac:dyDescent="0.25">
      <c r="A464" s="36">
        <f>IF((ROW()-3)&lt;=('首頁'!$B$8*12),ROW()-3,"")</f>
      </c>
      <c r="B464" s="37">
        <f>IF((ROW()-3)&lt;=('首頁'!$B$8*12),C464+D464,"")</f>
      </c>
      <c r="C464" s="38">
        <f>IF((ROW()-3)&lt;=('首頁'!$B$8*12),G464*'首頁'!$B$7/12/100,"")</f>
      </c>
      <c r="D464" s="38">
        <f>IF((ROW()-3)&lt;=('首頁'!$B$8*12),IF(ROW()-3=('首頁'!$B$8*12),G464,MIN(G464,'首頁'!$B$6/('首頁'!$B$8*12))),"")</f>
      </c>
      <c r="E464" s="38">
        <f>IF((ROW()-3)&lt;=('首頁'!$B$8*12),G464-D464,"")</f>
      </c>
      <c r="G464" s="39">
        <f>IF((ROW()-3)&lt;=('首頁'!$B$8*12),E463,"")</f>
      </c>
    </row>
    <row r="465" ht="22" customHeight="1" spans="1:7" x14ac:dyDescent="0.25">
      <c r="A465" s="40">
        <f>IF((ROW()-3)&lt;=('首頁'!$B$8*12),ROW()-3,"")</f>
      </c>
      <c r="B465" s="41">
        <f>IF((ROW()-3)&lt;=('首頁'!$B$8*12),C465+D465,"")</f>
      </c>
      <c r="C465" s="42">
        <f>IF((ROW()-3)&lt;=('首頁'!$B$8*12),G465*'首頁'!$B$7/12/100,"")</f>
      </c>
      <c r="D465" s="42">
        <f>IF((ROW()-3)&lt;=('首頁'!$B$8*12),IF(ROW()-3=('首頁'!$B$8*12),G465,MIN(G465,'首頁'!$B$6/('首頁'!$B$8*12))),"")</f>
      </c>
      <c r="E465" s="42">
        <f>IF((ROW()-3)&lt;=('首頁'!$B$8*12),G465-D465,"")</f>
      </c>
      <c r="G465" s="39">
        <f>IF((ROW()-3)&lt;=('首頁'!$B$8*12),E464,"")</f>
      </c>
    </row>
    <row r="466" ht="22" customHeight="1" spans="1:7" x14ac:dyDescent="0.25">
      <c r="A466" s="36">
        <f>IF((ROW()-3)&lt;=('首頁'!$B$8*12),ROW()-3,"")</f>
      </c>
      <c r="B466" s="37">
        <f>IF((ROW()-3)&lt;=('首頁'!$B$8*12),C466+D466,"")</f>
      </c>
      <c r="C466" s="38">
        <f>IF((ROW()-3)&lt;=('首頁'!$B$8*12),G466*'首頁'!$B$7/12/100,"")</f>
      </c>
      <c r="D466" s="38">
        <f>IF((ROW()-3)&lt;=('首頁'!$B$8*12),IF(ROW()-3=('首頁'!$B$8*12),G466,MIN(G466,'首頁'!$B$6/('首頁'!$B$8*12))),"")</f>
      </c>
      <c r="E466" s="38">
        <f>IF((ROW()-3)&lt;=('首頁'!$B$8*12),G466-D466,"")</f>
      </c>
      <c r="G466" s="39">
        <f>IF((ROW()-3)&lt;=('首頁'!$B$8*12),E465,"")</f>
      </c>
    </row>
    <row r="467" ht="22" customHeight="1" spans="1:7" x14ac:dyDescent="0.25">
      <c r="A467" s="40">
        <f>IF((ROW()-3)&lt;=('首頁'!$B$8*12),ROW()-3,"")</f>
      </c>
      <c r="B467" s="41">
        <f>IF((ROW()-3)&lt;=('首頁'!$B$8*12),C467+D467,"")</f>
      </c>
      <c r="C467" s="42">
        <f>IF((ROW()-3)&lt;=('首頁'!$B$8*12),G467*'首頁'!$B$7/12/100,"")</f>
      </c>
      <c r="D467" s="42">
        <f>IF((ROW()-3)&lt;=('首頁'!$B$8*12),IF(ROW()-3=('首頁'!$B$8*12),G467,MIN(G467,'首頁'!$B$6/('首頁'!$B$8*12))),"")</f>
      </c>
      <c r="E467" s="42">
        <f>IF((ROW()-3)&lt;=('首頁'!$B$8*12),G467-D467,"")</f>
      </c>
      <c r="G467" s="39">
        <f>IF((ROW()-3)&lt;=('首頁'!$B$8*12),E466,"")</f>
      </c>
    </row>
    <row r="468" ht="22" customHeight="1" spans="1:7" x14ac:dyDescent="0.25">
      <c r="A468" s="36">
        <f>IF((ROW()-3)&lt;=('首頁'!$B$8*12),ROW()-3,"")</f>
      </c>
      <c r="B468" s="37">
        <f>IF((ROW()-3)&lt;=('首頁'!$B$8*12),C468+D468,"")</f>
      </c>
      <c r="C468" s="38">
        <f>IF((ROW()-3)&lt;=('首頁'!$B$8*12),G468*'首頁'!$B$7/12/100,"")</f>
      </c>
      <c r="D468" s="38">
        <f>IF((ROW()-3)&lt;=('首頁'!$B$8*12),IF(ROW()-3=('首頁'!$B$8*12),G468,MIN(G468,'首頁'!$B$6/('首頁'!$B$8*12))),"")</f>
      </c>
      <c r="E468" s="38">
        <f>IF((ROW()-3)&lt;=('首頁'!$B$8*12),G468-D468,"")</f>
      </c>
      <c r="G468" s="39">
        <f>IF((ROW()-3)&lt;=('首頁'!$B$8*12),E467,"")</f>
      </c>
    </row>
    <row r="469" ht="22" customHeight="1" spans="1:7" x14ac:dyDescent="0.25">
      <c r="A469" s="40">
        <f>IF((ROW()-3)&lt;=('首頁'!$B$8*12),ROW()-3,"")</f>
      </c>
      <c r="B469" s="41">
        <f>IF((ROW()-3)&lt;=('首頁'!$B$8*12),C469+D469,"")</f>
      </c>
      <c r="C469" s="42">
        <f>IF((ROW()-3)&lt;=('首頁'!$B$8*12),G469*'首頁'!$B$7/12/100,"")</f>
      </c>
      <c r="D469" s="42">
        <f>IF((ROW()-3)&lt;=('首頁'!$B$8*12),IF(ROW()-3=('首頁'!$B$8*12),G469,MIN(G469,'首頁'!$B$6/('首頁'!$B$8*12))),"")</f>
      </c>
      <c r="E469" s="42">
        <f>IF((ROW()-3)&lt;=('首頁'!$B$8*12),G469-D469,"")</f>
      </c>
      <c r="G469" s="39">
        <f>IF((ROW()-3)&lt;=('首頁'!$B$8*12),E468,"")</f>
      </c>
    </row>
    <row r="470" ht="22" customHeight="1" spans="1:7" x14ac:dyDescent="0.25">
      <c r="A470" s="36">
        <f>IF((ROW()-3)&lt;=('首頁'!$B$8*12),ROW()-3,"")</f>
      </c>
      <c r="B470" s="37">
        <f>IF((ROW()-3)&lt;=('首頁'!$B$8*12),C470+D470,"")</f>
      </c>
      <c r="C470" s="38">
        <f>IF((ROW()-3)&lt;=('首頁'!$B$8*12),G470*'首頁'!$B$7/12/100,"")</f>
      </c>
      <c r="D470" s="38">
        <f>IF((ROW()-3)&lt;=('首頁'!$B$8*12),IF(ROW()-3=('首頁'!$B$8*12),G470,MIN(G470,'首頁'!$B$6/('首頁'!$B$8*12))),"")</f>
      </c>
      <c r="E470" s="38">
        <f>IF((ROW()-3)&lt;=('首頁'!$B$8*12),G470-D470,"")</f>
      </c>
      <c r="G470" s="39">
        <f>IF((ROW()-3)&lt;=('首頁'!$B$8*12),E469,"")</f>
      </c>
    </row>
    <row r="471" ht="22" customHeight="1" spans="1:7" x14ac:dyDescent="0.25">
      <c r="A471" s="40">
        <f>IF((ROW()-3)&lt;=('首頁'!$B$8*12),ROW()-3,"")</f>
      </c>
      <c r="B471" s="41">
        <f>IF((ROW()-3)&lt;=('首頁'!$B$8*12),C471+D471,"")</f>
      </c>
      <c r="C471" s="42">
        <f>IF((ROW()-3)&lt;=('首頁'!$B$8*12),G471*'首頁'!$B$7/12/100,"")</f>
      </c>
      <c r="D471" s="42">
        <f>IF((ROW()-3)&lt;=('首頁'!$B$8*12),IF(ROW()-3=('首頁'!$B$8*12),G471,MIN(G471,'首頁'!$B$6/('首頁'!$B$8*12))),"")</f>
      </c>
      <c r="E471" s="42">
        <f>IF((ROW()-3)&lt;=('首頁'!$B$8*12),G471-D471,"")</f>
      </c>
      <c r="G471" s="39">
        <f>IF((ROW()-3)&lt;=('首頁'!$B$8*12),E470,"")</f>
      </c>
    </row>
    <row r="472" ht="22" customHeight="1" spans="1:7" x14ac:dyDescent="0.25">
      <c r="A472" s="36">
        <f>IF((ROW()-3)&lt;=('首頁'!$B$8*12),ROW()-3,"")</f>
      </c>
      <c r="B472" s="37">
        <f>IF((ROW()-3)&lt;=('首頁'!$B$8*12),C472+D472,"")</f>
      </c>
      <c r="C472" s="38">
        <f>IF((ROW()-3)&lt;=('首頁'!$B$8*12),G472*'首頁'!$B$7/12/100,"")</f>
      </c>
      <c r="D472" s="38">
        <f>IF((ROW()-3)&lt;=('首頁'!$B$8*12),IF(ROW()-3=('首頁'!$B$8*12),G472,MIN(G472,'首頁'!$B$6/('首頁'!$B$8*12))),"")</f>
      </c>
      <c r="E472" s="38">
        <f>IF((ROW()-3)&lt;=('首頁'!$B$8*12),G472-D472,"")</f>
      </c>
      <c r="G472" s="39">
        <f>IF((ROW()-3)&lt;=('首頁'!$B$8*12),E471,"")</f>
      </c>
    </row>
    <row r="473" ht="22" customHeight="1" spans="1:7" x14ac:dyDescent="0.25">
      <c r="A473" s="40">
        <f>IF((ROW()-3)&lt;=('首頁'!$B$8*12),ROW()-3,"")</f>
      </c>
      <c r="B473" s="41">
        <f>IF((ROW()-3)&lt;=('首頁'!$B$8*12),C473+D473,"")</f>
      </c>
      <c r="C473" s="42">
        <f>IF((ROW()-3)&lt;=('首頁'!$B$8*12),G473*'首頁'!$B$7/12/100,"")</f>
      </c>
      <c r="D473" s="42">
        <f>IF((ROW()-3)&lt;=('首頁'!$B$8*12),IF(ROW()-3=('首頁'!$B$8*12),G473,MIN(G473,'首頁'!$B$6/('首頁'!$B$8*12))),"")</f>
      </c>
      <c r="E473" s="42">
        <f>IF((ROW()-3)&lt;=('首頁'!$B$8*12),G473-D473,"")</f>
      </c>
      <c r="G473" s="39">
        <f>IF((ROW()-3)&lt;=('首頁'!$B$8*12),E472,"")</f>
      </c>
    </row>
    <row r="474" ht="22" customHeight="1" spans="1:7" x14ac:dyDescent="0.25">
      <c r="A474" s="36">
        <f>IF((ROW()-3)&lt;=('首頁'!$B$8*12),ROW()-3,"")</f>
      </c>
      <c r="B474" s="37">
        <f>IF((ROW()-3)&lt;=('首頁'!$B$8*12),C474+D474,"")</f>
      </c>
      <c r="C474" s="38">
        <f>IF((ROW()-3)&lt;=('首頁'!$B$8*12),G474*'首頁'!$B$7/12/100,"")</f>
      </c>
      <c r="D474" s="38">
        <f>IF((ROW()-3)&lt;=('首頁'!$B$8*12),IF(ROW()-3=('首頁'!$B$8*12),G474,MIN(G474,'首頁'!$B$6/('首頁'!$B$8*12))),"")</f>
      </c>
      <c r="E474" s="38">
        <f>IF((ROW()-3)&lt;=('首頁'!$B$8*12),G474-D474,"")</f>
      </c>
      <c r="G474" s="39">
        <f>IF((ROW()-3)&lt;=('首頁'!$B$8*12),E473,"")</f>
      </c>
    </row>
    <row r="475" ht="22" customHeight="1" spans="1:7" x14ac:dyDescent="0.25">
      <c r="A475" s="40">
        <f>IF((ROW()-3)&lt;=('首頁'!$B$8*12),ROW()-3,"")</f>
      </c>
      <c r="B475" s="41">
        <f>IF((ROW()-3)&lt;=('首頁'!$B$8*12),C475+D475,"")</f>
      </c>
      <c r="C475" s="42">
        <f>IF((ROW()-3)&lt;=('首頁'!$B$8*12),G475*'首頁'!$B$7/12/100,"")</f>
      </c>
      <c r="D475" s="42">
        <f>IF((ROW()-3)&lt;=('首頁'!$B$8*12),IF(ROW()-3=('首頁'!$B$8*12),G475,MIN(G475,'首頁'!$B$6/('首頁'!$B$8*12))),"")</f>
      </c>
      <c r="E475" s="42">
        <f>IF((ROW()-3)&lt;=('首頁'!$B$8*12),G475-D475,"")</f>
      </c>
      <c r="G475" s="39">
        <f>IF((ROW()-3)&lt;=('首頁'!$B$8*12),E474,"")</f>
      </c>
    </row>
    <row r="476" ht="22" customHeight="1" spans="1:7" x14ac:dyDescent="0.25">
      <c r="A476" s="36">
        <f>IF((ROW()-3)&lt;=('首頁'!$B$8*12),ROW()-3,"")</f>
      </c>
      <c r="B476" s="37">
        <f>IF((ROW()-3)&lt;=('首頁'!$B$8*12),C476+D476,"")</f>
      </c>
      <c r="C476" s="38">
        <f>IF((ROW()-3)&lt;=('首頁'!$B$8*12),G476*'首頁'!$B$7/12/100,"")</f>
      </c>
      <c r="D476" s="38">
        <f>IF((ROW()-3)&lt;=('首頁'!$B$8*12),IF(ROW()-3=('首頁'!$B$8*12),G476,MIN(G476,'首頁'!$B$6/('首頁'!$B$8*12))),"")</f>
      </c>
      <c r="E476" s="38">
        <f>IF((ROW()-3)&lt;=('首頁'!$B$8*12),G476-D476,"")</f>
      </c>
      <c r="G476" s="39">
        <f>IF((ROW()-3)&lt;=('首頁'!$B$8*12),E475,"")</f>
      </c>
    </row>
    <row r="477" ht="22" customHeight="1" spans="1:7" x14ac:dyDescent="0.25">
      <c r="A477" s="40">
        <f>IF((ROW()-3)&lt;=('首頁'!$B$8*12),ROW()-3,"")</f>
      </c>
      <c r="B477" s="41">
        <f>IF((ROW()-3)&lt;=('首頁'!$B$8*12),C477+D477,"")</f>
      </c>
      <c r="C477" s="42">
        <f>IF((ROW()-3)&lt;=('首頁'!$B$8*12),G477*'首頁'!$B$7/12/100,"")</f>
      </c>
      <c r="D477" s="42">
        <f>IF((ROW()-3)&lt;=('首頁'!$B$8*12),IF(ROW()-3=('首頁'!$B$8*12),G477,MIN(G477,'首頁'!$B$6/('首頁'!$B$8*12))),"")</f>
      </c>
      <c r="E477" s="42">
        <f>IF((ROW()-3)&lt;=('首頁'!$B$8*12),G477-D477,"")</f>
      </c>
      <c r="G477" s="39">
        <f>IF((ROW()-3)&lt;=('首頁'!$B$8*12),E476,"")</f>
      </c>
    </row>
    <row r="478" ht="22" customHeight="1" spans="1:7" x14ac:dyDescent="0.25">
      <c r="A478" s="36">
        <f>IF((ROW()-3)&lt;=('首頁'!$B$8*12),ROW()-3,"")</f>
      </c>
      <c r="B478" s="37">
        <f>IF((ROW()-3)&lt;=('首頁'!$B$8*12),C478+D478,"")</f>
      </c>
      <c r="C478" s="38">
        <f>IF((ROW()-3)&lt;=('首頁'!$B$8*12),G478*'首頁'!$B$7/12/100,"")</f>
      </c>
      <c r="D478" s="38">
        <f>IF((ROW()-3)&lt;=('首頁'!$B$8*12),IF(ROW()-3=('首頁'!$B$8*12),G478,MIN(G478,'首頁'!$B$6/('首頁'!$B$8*12))),"")</f>
      </c>
      <c r="E478" s="38">
        <f>IF((ROW()-3)&lt;=('首頁'!$B$8*12),G478-D478,"")</f>
      </c>
      <c r="G478" s="39">
        <f>IF((ROW()-3)&lt;=('首頁'!$B$8*12),E477,"")</f>
      </c>
    </row>
    <row r="479" ht="22" customHeight="1" spans="1:7" x14ac:dyDescent="0.25">
      <c r="A479" s="40">
        <f>IF((ROW()-3)&lt;=('首頁'!$B$8*12),ROW()-3,"")</f>
      </c>
      <c r="B479" s="41">
        <f>IF((ROW()-3)&lt;=('首頁'!$B$8*12),C479+D479,"")</f>
      </c>
      <c r="C479" s="42">
        <f>IF((ROW()-3)&lt;=('首頁'!$B$8*12),G479*'首頁'!$B$7/12/100,"")</f>
      </c>
      <c r="D479" s="42">
        <f>IF((ROW()-3)&lt;=('首頁'!$B$8*12),IF(ROW()-3=('首頁'!$B$8*12),G479,MIN(G479,'首頁'!$B$6/('首頁'!$B$8*12))),"")</f>
      </c>
      <c r="E479" s="42">
        <f>IF((ROW()-3)&lt;=('首頁'!$B$8*12),G479-D479,"")</f>
      </c>
      <c r="G479" s="39">
        <f>IF((ROW()-3)&lt;=('首頁'!$B$8*12),E478,"")</f>
      </c>
    </row>
    <row r="480" ht="22" customHeight="1" spans="1:7" x14ac:dyDescent="0.25">
      <c r="A480" s="36">
        <f>IF((ROW()-3)&lt;=('首頁'!$B$8*12),ROW()-3,"")</f>
      </c>
      <c r="B480" s="37">
        <f>IF((ROW()-3)&lt;=('首頁'!$B$8*12),C480+D480,"")</f>
      </c>
      <c r="C480" s="38">
        <f>IF((ROW()-3)&lt;=('首頁'!$B$8*12),G480*'首頁'!$B$7/12/100,"")</f>
      </c>
      <c r="D480" s="38">
        <f>IF((ROW()-3)&lt;=('首頁'!$B$8*12),IF(ROW()-3=('首頁'!$B$8*12),G480,MIN(G480,'首頁'!$B$6/('首頁'!$B$8*12))),"")</f>
      </c>
      <c r="E480" s="38">
        <f>IF((ROW()-3)&lt;=('首頁'!$B$8*12),G480-D480,"")</f>
      </c>
      <c r="G480" s="39">
        <f>IF((ROW()-3)&lt;=('首頁'!$B$8*12),E479,"")</f>
      </c>
    </row>
    <row r="481" ht="22" customHeight="1" spans="1:7" x14ac:dyDescent="0.25">
      <c r="A481" s="40">
        <f>IF((ROW()-3)&lt;=('首頁'!$B$8*12),ROW()-3,"")</f>
      </c>
      <c r="B481" s="41">
        <f>IF((ROW()-3)&lt;=('首頁'!$B$8*12),C481+D481,"")</f>
      </c>
      <c r="C481" s="42">
        <f>IF((ROW()-3)&lt;=('首頁'!$B$8*12),G481*'首頁'!$B$7/12/100,"")</f>
      </c>
      <c r="D481" s="42">
        <f>IF((ROW()-3)&lt;=('首頁'!$B$8*12),IF(ROW()-3=('首頁'!$B$8*12),G481,MIN(G481,'首頁'!$B$6/('首頁'!$B$8*12))),"")</f>
      </c>
      <c r="E481" s="42">
        <f>IF((ROW()-3)&lt;=('首頁'!$B$8*12),G481-D481,"")</f>
      </c>
      <c r="G481" s="39">
        <f>IF((ROW()-3)&lt;=('首頁'!$B$8*12),E480,"")</f>
      </c>
    </row>
    <row r="482" ht="22" customHeight="1" spans="1:7" x14ac:dyDescent="0.25">
      <c r="A482" s="36">
        <f>IF((ROW()-3)&lt;=('首頁'!$B$8*12),ROW()-3,"")</f>
      </c>
      <c r="B482" s="37">
        <f>IF((ROW()-3)&lt;=('首頁'!$B$8*12),C482+D482,"")</f>
      </c>
      <c r="C482" s="38">
        <f>IF((ROW()-3)&lt;=('首頁'!$B$8*12),G482*'首頁'!$B$7/12/100,"")</f>
      </c>
      <c r="D482" s="38">
        <f>IF((ROW()-3)&lt;=('首頁'!$B$8*12),IF(ROW()-3=('首頁'!$B$8*12),G482,MIN(G482,'首頁'!$B$6/('首頁'!$B$8*12))),"")</f>
      </c>
      <c r="E482" s="38">
        <f>IF((ROW()-3)&lt;=('首頁'!$B$8*12),G482-D482,"")</f>
      </c>
      <c r="G482" s="39">
        <f>IF((ROW()-3)&lt;=('首頁'!$B$8*12),E481,"")</f>
      </c>
    </row>
    <row r="483" ht="22" customHeight="1" spans="1:7" x14ac:dyDescent="0.25">
      <c r="A483" s="40">
        <f>IF((ROW()-3)&lt;=('首頁'!$B$8*12),ROW()-3,"")</f>
      </c>
      <c r="B483" s="41">
        <f>IF((ROW()-3)&lt;=('首頁'!$B$8*12),C483+D483,"")</f>
      </c>
      <c r="C483" s="42">
        <f>IF((ROW()-3)&lt;=('首頁'!$B$8*12),G483*'首頁'!$B$7/12/100,"")</f>
      </c>
      <c r="D483" s="42">
        <f>IF((ROW()-3)&lt;=('首頁'!$B$8*12),IF(ROW()-3=('首頁'!$B$8*12),G483,MIN(G483,'首頁'!$B$6/('首頁'!$B$8*12))),"")</f>
      </c>
      <c r="E483" s="42">
        <f>IF((ROW()-3)&lt;=('首頁'!$B$8*12),G483-D483,"")</f>
      </c>
      <c r="G483" s="39">
        <f>IF((ROW()-3)&lt;=('首頁'!$B$8*12),E482,"")</f>
      </c>
    </row>
    <row r="484" ht="22" customHeight="1" spans="1:7" x14ac:dyDescent="0.25">
      <c r="A484" s="36">
        <f>IF((ROW()-3)&lt;=('首頁'!$B$8*12),ROW()-3,"")</f>
      </c>
      <c r="B484" s="37">
        <f>IF((ROW()-3)&lt;=('首頁'!$B$8*12),C484+D484,"")</f>
      </c>
      <c r="C484" s="38">
        <f>IF((ROW()-3)&lt;=('首頁'!$B$8*12),G484*'首頁'!$B$7/12/100,"")</f>
      </c>
      <c r="D484" s="38">
        <f>IF((ROW()-3)&lt;=('首頁'!$B$8*12),IF(ROW()-3=('首頁'!$B$8*12),G484,MIN(G484,'首頁'!$B$6/('首頁'!$B$8*12))),"")</f>
      </c>
      <c r="E484" s="38">
        <f>IF((ROW()-3)&lt;=('首頁'!$B$8*12),G484-D484,"")</f>
      </c>
      <c r="G484" s="39">
        <f>IF((ROW()-3)&lt;=('首頁'!$B$8*12),E483,"")</f>
      </c>
    </row>
    <row r="485" ht="22" customHeight="1" spans="1:7" x14ac:dyDescent="0.25">
      <c r="A485" s="40">
        <f>IF((ROW()-3)&lt;=('首頁'!$B$8*12),ROW()-3,"")</f>
      </c>
      <c r="B485" s="41">
        <f>IF((ROW()-3)&lt;=('首頁'!$B$8*12),C485+D485,"")</f>
      </c>
      <c r="C485" s="42">
        <f>IF((ROW()-3)&lt;=('首頁'!$B$8*12),G485*'首頁'!$B$7/12/100,"")</f>
      </c>
      <c r="D485" s="42">
        <f>IF((ROW()-3)&lt;=('首頁'!$B$8*12),IF(ROW()-3=('首頁'!$B$8*12),G485,MIN(G485,'首頁'!$B$6/('首頁'!$B$8*12))),"")</f>
      </c>
      <c r="E485" s="42">
        <f>IF((ROW()-3)&lt;=('首頁'!$B$8*12),G485-D485,"")</f>
      </c>
      <c r="G485" s="39">
        <f>IF((ROW()-3)&lt;=('首頁'!$B$8*12),E484,"")</f>
      </c>
    </row>
    <row r="486" ht="22" customHeight="1" spans="1:7" x14ac:dyDescent="0.25">
      <c r="A486" s="36">
        <f>IF((ROW()-3)&lt;=('首頁'!$B$8*12),ROW()-3,"")</f>
      </c>
      <c r="B486" s="37">
        <f>IF((ROW()-3)&lt;=('首頁'!$B$8*12),C486+D486,"")</f>
      </c>
      <c r="C486" s="38">
        <f>IF((ROW()-3)&lt;=('首頁'!$B$8*12),G486*'首頁'!$B$7/12/100,"")</f>
      </c>
      <c r="D486" s="38">
        <f>IF((ROW()-3)&lt;=('首頁'!$B$8*12),IF(ROW()-3=('首頁'!$B$8*12),G486,MIN(G486,'首頁'!$B$6/('首頁'!$B$8*12))),"")</f>
      </c>
      <c r="E486" s="38">
        <f>IF((ROW()-3)&lt;=('首頁'!$B$8*12),G486-D486,"")</f>
      </c>
      <c r="G486" s="39">
        <f>IF((ROW()-3)&lt;=('首頁'!$B$8*12),E485,"")</f>
      </c>
    </row>
    <row r="487" ht="22" customHeight="1" spans="1:7" x14ac:dyDescent="0.25">
      <c r="A487" s="40">
        <f>IF((ROW()-3)&lt;=('首頁'!$B$8*12),ROW()-3,"")</f>
      </c>
      <c r="B487" s="41">
        <f>IF((ROW()-3)&lt;=('首頁'!$B$8*12),C487+D487,"")</f>
      </c>
      <c r="C487" s="42">
        <f>IF((ROW()-3)&lt;=('首頁'!$B$8*12),G487*'首頁'!$B$7/12/100,"")</f>
      </c>
      <c r="D487" s="42">
        <f>IF((ROW()-3)&lt;=('首頁'!$B$8*12),IF(ROW()-3=('首頁'!$B$8*12),G487,MIN(G487,'首頁'!$B$6/('首頁'!$B$8*12))),"")</f>
      </c>
      <c r="E487" s="42">
        <f>IF((ROW()-3)&lt;=('首頁'!$B$8*12),G487-D487,"")</f>
      </c>
      <c r="G487" s="39">
        <f>IF((ROW()-3)&lt;=('首頁'!$B$8*12),E486,"")</f>
      </c>
    </row>
    <row r="488" ht="22" customHeight="1" spans="1:7" x14ac:dyDescent="0.25">
      <c r="A488" s="36">
        <f>IF((ROW()-3)&lt;=('首頁'!$B$8*12),ROW()-3,"")</f>
      </c>
      <c r="B488" s="37">
        <f>IF((ROW()-3)&lt;=('首頁'!$B$8*12),C488+D488,"")</f>
      </c>
      <c r="C488" s="38">
        <f>IF((ROW()-3)&lt;=('首頁'!$B$8*12),G488*'首頁'!$B$7/12/100,"")</f>
      </c>
      <c r="D488" s="38">
        <f>IF((ROW()-3)&lt;=('首頁'!$B$8*12),IF(ROW()-3=('首頁'!$B$8*12),G488,MIN(G488,'首頁'!$B$6/('首頁'!$B$8*12))),"")</f>
      </c>
      <c r="E488" s="38">
        <f>IF((ROW()-3)&lt;=('首頁'!$B$8*12),G488-D488,"")</f>
      </c>
      <c r="G488" s="39">
        <f>IF((ROW()-3)&lt;=('首頁'!$B$8*12),E487,"")</f>
      </c>
    </row>
    <row r="489" ht="22" customHeight="1" spans="1:7" x14ac:dyDescent="0.25">
      <c r="A489" s="40">
        <f>IF((ROW()-3)&lt;=('首頁'!$B$8*12),ROW()-3,"")</f>
      </c>
      <c r="B489" s="41">
        <f>IF((ROW()-3)&lt;=('首頁'!$B$8*12),C489+D489,"")</f>
      </c>
      <c r="C489" s="42">
        <f>IF((ROW()-3)&lt;=('首頁'!$B$8*12),G489*'首頁'!$B$7/12/100,"")</f>
      </c>
      <c r="D489" s="42">
        <f>IF((ROW()-3)&lt;=('首頁'!$B$8*12),IF(ROW()-3=('首頁'!$B$8*12),G489,MIN(G489,'首頁'!$B$6/('首頁'!$B$8*12))),"")</f>
      </c>
      <c r="E489" s="42">
        <f>IF((ROW()-3)&lt;=('首頁'!$B$8*12),G489-D489,"")</f>
      </c>
      <c r="G489" s="39">
        <f>IF((ROW()-3)&lt;=('首頁'!$B$8*12),E488,"")</f>
      </c>
    </row>
    <row r="490" ht="22" customHeight="1" spans="1:7" x14ac:dyDescent="0.25">
      <c r="A490" s="36">
        <f>IF((ROW()-3)&lt;=('首頁'!$B$8*12),ROW()-3,"")</f>
      </c>
      <c r="B490" s="37">
        <f>IF((ROW()-3)&lt;=('首頁'!$B$8*12),C490+D490,"")</f>
      </c>
      <c r="C490" s="38">
        <f>IF((ROW()-3)&lt;=('首頁'!$B$8*12),G490*'首頁'!$B$7/12/100,"")</f>
      </c>
      <c r="D490" s="38">
        <f>IF((ROW()-3)&lt;=('首頁'!$B$8*12),IF(ROW()-3=('首頁'!$B$8*12),G490,MIN(G490,'首頁'!$B$6/('首頁'!$B$8*12))),"")</f>
      </c>
      <c r="E490" s="38">
        <f>IF((ROW()-3)&lt;=('首頁'!$B$8*12),G490-D490,"")</f>
      </c>
      <c r="G490" s="39">
        <f>IF((ROW()-3)&lt;=('首頁'!$B$8*12),E489,"")</f>
      </c>
    </row>
    <row r="491" ht="22" customHeight="1" spans="1:7" x14ac:dyDescent="0.25">
      <c r="A491" s="40">
        <f>IF((ROW()-3)&lt;=('首頁'!$B$8*12),ROW()-3,"")</f>
      </c>
      <c r="B491" s="41">
        <f>IF((ROW()-3)&lt;=('首頁'!$B$8*12),C491+D491,"")</f>
      </c>
      <c r="C491" s="42">
        <f>IF((ROW()-3)&lt;=('首頁'!$B$8*12),G491*'首頁'!$B$7/12/100,"")</f>
      </c>
      <c r="D491" s="42">
        <f>IF((ROW()-3)&lt;=('首頁'!$B$8*12),IF(ROW()-3=('首頁'!$B$8*12),G491,MIN(G491,'首頁'!$B$6/('首頁'!$B$8*12))),"")</f>
      </c>
      <c r="E491" s="42">
        <f>IF((ROW()-3)&lt;=('首頁'!$B$8*12),G491-D491,"")</f>
      </c>
      <c r="G491" s="39">
        <f>IF((ROW()-3)&lt;=('首頁'!$B$8*12),E490,"")</f>
      </c>
    </row>
    <row r="492" ht="22" customHeight="1" spans="1:7" x14ac:dyDescent="0.25">
      <c r="A492" s="36">
        <f>IF((ROW()-3)&lt;=('首頁'!$B$8*12),ROW()-3,"")</f>
      </c>
      <c r="B492" s="37">
        <f>IF((ROW()-3)&lt;=('首頁'!$B$8*12),C492+D492,"")</f>
      </c>
      <c r="C492" s="38">
        <f>IF((ROW()-3)&lt;=('首頁'!$B$8*12),G492*'首頁'!$B$7/12/100,"")</f>
      </c>
      <c r="D492" s="38">
        <f>IF((ROW()-3)&lt;=('首頁'!$B$8*12),IF(ROW()-3=('首頁'!$B$8*12),G492,MIN(G492,'首頁'!$B$6/('首頁'!$B$8*12))),"")</f>
      </c>
      <c r="E492" s="38">
        <f>IF((ROW()-3)&lt;=('首頁'!$B$8*12),G492-D492,"")</f>
      </c>
      <c r="G492" s="39">
        <f>IF((ROW()-3)&lt;=('首頁'!$B$8*12),E491,"")</f>
      </c>
    </row>
    <row r="493" ht="22" customHeight="1" spans="1:7" x14ac:dyDescent="0.25">
      <c r="A493" s="40">
        <f>IF((ROW()-3)&lt;=('首頁'!$B$8*12),ROW()-3,"")</f>
      </c>
      <c r="B493" s="41">
        <f>IF((ROW()-3)&lt;=('首頁'!$B$8*12),C493+D493,"")</f>
      </c>
      <c r="C493" s="42">
        <f>IF((ROW()-3)&lt;=('首頁'!$B$8*12),G493*'首頁'!$B$7/12/100,"")</f>
      </c>
      <c r="D493" s="42">
        <f>IF((ROW()-3)&lt;=('首頁'!$B$8*12),IF(ROW()-3=('首頁'!$B$8*12),G493,MIN(G493,'首頁'!$B$6/('首頁'!$B$8*12))),"")</f>
      </c>
      <c r="E493" s="42">
        <f>IF((ROW()-3)&lt;=('首頁'!$B$8*12),G493-D493,"")</f>
      </c>
      <c r="G493" s="39">
        <f>IF((ROW()-3)&lt;=('首頁'!$B$8*12),E492,"")</f>
      </c>
    </row>
    <row r="494" ht="22" customHeight="1" spans="1:7" x14ac:dyDescent="0.25">
      <c r="A494" s="36">
        <f>IF((ROW()-3)&lt;=('首頁'!$B$8*12),ROW()-3,"")</f>
      </c>
      <c r="B494" s="37">
        <f>IF((ROW()-3)&lt;=('首頁'!$B$8*12),C494+D494,"")</f>
      </c>
      <c r="C494" s="38">
        <f>IF((ROW()-3)&lt;=('首頁'!$B$8*12),G494*'首頁'!$B$7/12/100,"")</f>
      </c>
      <c r="D494" s="38">
        <f>IF((ROW()-3)&lt;=('首頁'!$B$8*12),IF(ROW()-3=('首頁'!$B$8*12),G494,MIN(G494,'首頁'!$B$6/('首頁'!$B$8*12))),"")</f>
      </c>
      <c r="E494" s="38">
        <f>IF((ROW()-3)&lt;=('首頁'!$B$8*12),G494-D494,"")</f>
      </c>
      <c r="G494" s="39">
        <f>IF((ROW()-3)&lt;=('首頁'!$B$8*12),E493,"")</f>
      </c>
    </row>
    <row r="495" ht="22" customHeight="1" spans="1:7" x14ac:dyDescent="0.25">
      <c r="A495" s="40">
        <f>IF((ROW()-3)&lt;=('首頁'!$B$8*12),ROW()-3,"")</f>
      </c>
      <c r="B495" s="41">
        <f>IF((ROW()-3)&lt;=('首頁'!$B$8*12),C495+D495,"")</f>
      </c>
      <c r="C495" s="42">
        <f>IF((ROW()-3)&lt;=('首頁'!$B$8*12),G495*'首頁'!$B$7/12/100,"")</f>
      </c>
      <c r="D495" s="42">
        <f>IF((ROW()-3)&lt;=('首頁'!$B$8*12),IF(ROW()-3=('首頁'!$B$8*12),G495,MIN(G495,'首頁'!$B$6/('首頁'!$B$8*12))),"")</f>
      </c>
      <c r="E495" s="42">
        <f>IF((ROW()-3)&lt;=('首頁'!$B$8*12),G495-D495,"")</f>
      </c>
      <c r="G495" s="39">
        <f>IF((ROW()-3)&lt;=('首頁'!$B$8*12),E494,"")</f>
      </c>
    </row>
    <row r="496" ht="22" customHeight="1" spans="1:7" x14ac:dyDescent="0.25">
      <c r="A496" s="36">
        <f>IF((ROW()-3)&lt;=('首頁'!$B$8*12),ROW()-3,"")</f>
      </c>
      <c r="B496" s="37">
        <f>IF((ROW()-3)&lt;=('首頁'!$B$8*12),C496+D496,"")</f>
      </c>
      <c r="C496" s="38">
        <f>IF((ROW()-3)&lt;=('首頁'!$B$8*12),G496*'首頁'!$B$7/12/100,"")</f>
      </c>
      <c r="D496" s="38">
        <f>IF((ROW()-3)&lt;=('首頁'!$B$8*12),IF(ROW()-3=('首頁'!$B$8*12),G496,MIN(G496,'首頁'!$B$6/('首頁'!$B$8*12))),"")</f>
      </c>
      <c r="E496" s="38">
        <f>IF((ROW()-3)&lt;=('首頁'!$B$8*12),G496-D496,"")</f>
      </c>
      <c r="G496" s="39">
        <f>IF((ROW()-3)&lt;=('首頁'!$B$8*12),E495,"")</f>
      </c>
    </row>
    <row r="497" ht="22" customHeight="1" spans="1:7" x14ac:dyDescent="0.25">
      <c r="A497" s="40">
        <f>IF((ROW()-3)&lt;=('首頁'!$B$8*12),ROW()-3,"")</f>
      </c>
      <c r="B497" s="41">
        <f>IF((ROW()-3)&lt;=('首頁'!$B$8*12),C497+D497,"")</f>
      </c>
      <c r="C497" s="42">
        <f>IF((ROW()-3)&lt;=('首頁'!$B$8*12),G497*'首頁'!$B$7/12/100,"")</f>
      </c>
      <c r="D497" s="42">
        <f>IF((ROW()-3)&lt;=('首頁'!$B$8*12),IF(ROW()-3=('首頁'!$B$8*12),G497,MIN(G497,'首頁'!$B$6/('首頁'!$B$8*12))),"")</f>
      </c>
      <c r="E497" s="42">
        <f>IF((ROW()-3)&lt;=('首頁'!$B$8*12),G497-D497,"")</f>
      </c>
      <c r="G497" s="39">
        <f>IF((ROW()-3)&lt;=('首頁'!$B$8*12),E496,"")</f>
      </c>
    </row>
    <row r="498" ht="22" customHeight="1" spans="1:7" x14ac:dyDescent="0.25">
      <c r="A498" s="36">
        <f>IF((ROW()-3)&lt;=('首頁'!$B$8*12),ROW()-3,"")</f>
      </c>
      <c r="B498" s="37">
        <f>IF((ROW()-3)&lt;=('首頁'!$B$8*12),C498+D498,"")</f>
      </c>
      <c r="C498" s="38">
        <f>IF((ROW()-3)&lt;=('首頁'!$B$8*12),G498*'首頁'!$B$7/12/100,"")</f>
      </c>
      <c r="D498" s="38">
        <f>IF((ROW()-3)&lt;=('首頁'!$B$8*12),IF(ROW()-3=('首頁'!$B$8*12),G498,MIN(G498,'首頁'!$B$6/('首頁'!$B$8*12))),"")</f>
      </c>
      <c r="E498" s="38">
        <f>IF((ROW()-3)&lt;=('首頁'!$B$8*12),G498-D498,"")</f>
      </c>
      <c r="G498" s="39">
        <f>IF((ROW()-3)&lt;=('首頁'!$B$8*12),E497,"")</f>
      </c>
    </row>
    <row r="499" ht="22" customHeight="1" spans="1:7" x14ac:dyDescent="0.25">
      <c r="A499" s="40">
        <f>IF((ROW()-3)&lt;=('首頁'!$B$8*12),ROW()-3,"")</f>
      </c>
      <c r="B499" s="41">
        <f>IF((ROW()-3)&lt;=('首頁'!$B$8*12),C499+D499,"")</f>
      </c>
      <c r="C499" s="42">
        <f>IF((ROW()-3)&lt;=('首頁'!$B$8*12),G499*'首頁'!$B$7/12/100,"")</f>
      </c>
      <c r="D499" s="42">
        <f>IF((ROW()-3)&lt;=('首頁'!$B$8*12),IF(ROW()-3=('首頁'!$B$8*12),G499,MIN(G499,'首頁'!$B$6/('首頁'!$B$8*12))),"")</f>
      </c>
      <c r="E499" s="42">
        <f>IF((ROW()-3)&lt;=('首頁'!$B$8*12),G499-D499,"")</f>
      </c>
      <c r="G499" s="39">
        <f>IF((ROW()-3)&lt;=('首頁'!$B$8*12),E498,"")</f>
      </c>
    </row>
    <row r="500" ht="22" customHeight="1" spans="1:7" x14ac:dyDescent="0.25">
      <c r="A500" s="36">
        <f>IF((ROW()-3)&lt;=('首頁'!$B$8*12),ROW()-3,"")</f>
      </c>
      <c r="B500" s="37">
        <f>IF((ROW()-3)&lt;=('首頁'!$B$8*12),C500+D500,"")</f>
      </c>
      <c r="C500" s="38">
        <f>IF((ROW()-3)&lt;=('首頁'!$B$8*12),G500*'首頁'!$B$7/12/100,"")</f>
      </c>
      <c r="D500" s="38">
        <f>IF((ROW()-3)&lt;=('首頁'!$B$8*12),IF(ROW()-3=('首頁'!$B$8*12),G500,MIN(G500,'首頁'!$B$6/('首頁'!$B$8*12))),"")</f>
      </c>
      <c r="E500" s="38">
        <f>IF((ROW()-3)&lt;=('首頁'!$B$8*12),G500-D500,"")</f>
      </c>
      <c r="G500" s="39">
        <f>IF((ROW()-3)&lt;=('首頁'!$B$8*12),E499,"")</f>
      </c>
    </row>
    <row r="501" ht="22" customHeight="1" spans="1:7" x14ac:dyDescent="0.25">
      <c r="A501" s="40">
        <f>IF((ROW()-3)&lt;=('首頁'!$B$8*12),ROW()-3,"")</f>
      </c>
      <c r="B501" s="41">
        <f>IF((ROW()-3)&lt;=('首頁'!$B$8*12),C501+D501,"")</f>
      </c>
      <c r="C501" s="42">
        <f>IF((ROW()-3)&lt;=('首頁'!$B$8*12),G501*'首頁'!$B$7/12/100,"")</f>
      </c>
      <c r="D501" s="42">
        <f>IF((ROW()-3)&lt;=('首頁'!$B$8*12),IF(ROW()-3=('首頁'!$B$8*12),G501,MIN(G501,'首頁'!$B$6/('首頁'!$B$8*12))),"")</f>
      </c>
      <c r="E501" s="42">
        <f>IF((ROW()-3)&lt;=('首頁'!$B$8*12),G501-D501,"")</f>
      </c>
      <c r="G501" s="39">
        <f>IF((ROW()-3)&lt;=('首頁'!$B$8*12),E500,"")</f>
      </c>
    </row>
    <row r="502" ht="22" customHeight="1" spans="1:7" x14ac:dyDescent="0.25">
      <c r="A502" s="36">
        <f>IF((ROW()-3)&lt;=('首頁'!$B$8*12),ROW()-3,"")</f>
      </c>
      <c r="B502" s="37">
        <f>IF((ROW()-3)&lt;=('首頁'!$B$8*12),C502+D502,"")</f>
      </c>
      <c r="C502" s="38">
        <f>IF((ROW()-3)&lt;=('首頁'!$B$8*12),G502*'首頁'!$B$7/12/100,"")</f>
      </c>
      <c r="D502" s="38">
        <f>IF((ROW()-3)&lt;=('首頁'!$B$8*12),IF(ROW()-3=('首頁'!$B$8*12),G502,MIN(G502,'首頁'!$B$6/('首頁'!$B$8*12))),"")</f>
      </c>
      <c r="E502" s="38">
        <f>IF((ROW()-3)&lt;=('首頁'!$B$8*12),G502-D502,"")</f>
      </c>
      <c r="G502" s="39">
        <f>IF((ROW()-3)&lt;=('首頁'!$B$8*12),E501,"")</f>
      </c>
    </row>
    <row r="503" ht="22" customHeight="1" spans="1:7" x14ac:dyDescent="0.25">
      <c r="A503" s="40">
        <f>IF((ROW()-3)&lt;=('首頁'!$B$8*12),ROW()-3,"")</f>
      </c>
      <c r="B503" s="41">
        <f>IF((ROW()-3)&lt;=('首頁'!$B$8*12),C503+D503,"")</f>
      </c>
      <c r="C503" s="42">
        <f>IF((ROW()-3)&lt;=('首頁'!$B$8*12),G503*'首頁'!$B$7/12/100,"")</f>
      </c>
      <c r="D503" s="42">
        <f>IF((ROW()-3)&lt;=('首頁'!$B$8*12),IF(ROW()-3=('首頁'!$B$8*12),G503,MIN(G503,'首頁'!$B$6/('首頁'!$B$8*12))),"")</f>
      </c>
      <c r="E503" s="42">
        <f>IF((ROW()-3)&lt;=('首頁'!$B$8*12),G503-D503,"")</f>
      </c>
      <c r="G503" s="39">
        <f>IF((ROW()-3)&lt;=('首頁'!$B$8*12),E502,"")</f>
      </c>
    </row>
    <row r="504" ht="22" customHeight="1" spans="1:7" x14ac:dyDescent="0.25">
      <c r="A504" s="36">
        <f>IF((ROW()-3)&lt;=('首頁'!$B$8*12),ROW()-3,"")</f>
      </c>
      <c r="B504" s="37">
        <f>IF((ROW()-3)&lt;=('首頁'!$B$8*12),C504+D504,"")</f>
      </c>
      <c r="C504" s="38">
        <f>IF((ROW()-3)&lt;=('首頁'!$B$8*12),G504*'首頁'!$B$7/12/100,"")</f>
      </c>
      <c r="D504" s="38">
        <f>IF((ROW()-3)&lt;=('首頁'!$B$8*12),IF(ROW()-3=('首頁'!$B$8*12),G504,MIN(G504,'首頁'!$B$6/('首頁'!$B$8*12))),"")</f>
      </c>
      <c r="E504" s="38">
        <f>IF((ROW()-3)&lt;=('首頁'!$B$8*12),G504-D504,"")</f>
      </c>
      <c r="G504" s="39">
        <f>IF((ROW()-3)&lt;=('首頁'!$B$8*12),E503,"")</f>
      </c>
    </row>
    <row r="505" ht="22" customHeight="1" spans="1:7" x14ac:dyDescent="0.25">
      <c r="A505" s="40">
        <f>IF((ROW()-3)&lt;=('首頁'!$B$8*12),ROW()-3,"")</f>
      </c>
      <c r="B505" s="41">
        <f>IF((ROW()-3)&lt;=('首頁'!$B$8*12),C505+D505,"")</f>
      </c>
      <c r="C505" s="42">
        <f>IF((ROW()-3)&lt;=('首頁'!$B$8*12),G505*'首頁'!$B$7/12/100,"")</f>
      </c>
      <c r="D505" s="42">
        <f>IF((ROW()-3)&lt;=('首頁'!$B$8*12),IF(ROW()-3=('首頁'!$B$8*12),G505,MIN(G505,'首頁'!$B$6/('首頁'!$B$8*12))),"")</f>
      </c>
      <c r="E505" s="42">
        <f>IF((ROW()-3)&lt;=('首頁'!$B$8*12),G505-D505,"")</f>
      </c>
      <c r="G505" s="39">
        <f>IF((ROW()-3)&lt;=('首頁'!$B$8*12),E504,"")</f>
      </c>
    </row>
    <row r="506" ht="22" customHeight="1" spans="1:7" x14ac:dyDescent="0.25">
      <c r="A506" s="36">
        <f>IF((ROW()-3)&lt;=('首頁'!$B$8*12),ROW()-3,"")</f>
      </c>
      <c r="B506" s="37">
        <f>IF((ROW()-3)&lt;=('首頁'!$B$8*12),C506+D506,"")</f>
      </c>
      <c r="C506" s="38">
        <f>IF((ROW()-3)&lt;=('首頁'!$B$8*12),G506*'首頁'!$B$7/12/100,"")</f>
      </c>
      <c r="D506" s="38">
        <f>IF((ROW()-3)&lt;=('首頁'!$B$8*12),IF(ROW()-3=('首頁'!$B$8*12),G506,MIN(G506,'首頁'!$B$6/('首頁'!$B$8*12))),"")</f>
      </c>
      <c r="E506" s="38">
        <f>IF((ROW()-3)&lt;=('首頁'!$B$8*12),G506-D506,"")</f>
      </c>
      <c r="G506" s="39">
        <f>IF((ROW()-3)&lt;=('首頁'!$B$8*12),E505,"")</f>
      </c>
    </row>
    <row r="507" ht="22" customHeight="1" spans="1:7" x14ac:dyDescent="0.25">
      <c r="A507" s="40">
        <f>IF((ROW()-3)&lt;=('首頁'!$B$8*12),ROW()-3,"")</f>
      </c>
      <c r="B507" s="41">
        <f>IF((ROW()-3)&lt;=('首頁'!$B$8*12),C507+D507,"")</f>
      </c>
      <c r="C507" s="42">
        <f>IF((ROW()-3)&lt;=('首頁'!$B$8*12),G507*'首頁'!$B$7/12/100,"")</f>
      </c>
      <c r="D507" s="42">
        <f>IF((ROW()-3)&lt;=('首頁'!$B$8*12),IF(ROW()-3=('首頁'!$B$8*12),G507,MIN(G507,'首頁'!$B$6/('首頁'!$B$8*12))),"")</f>
      </c>
      <c r="E507" s="42">
        <f>IF((ROW()-3)&lt;=('首頁'!$B$8*12),G507-D507,"")</f>
      </c>
      <c r="G507" s="39">
        <f>IF((ROW()-3)&lt;=('首頁'!$B$8*12),E506,"")</f>
      </c>
    </row>
    <row r="508" ht="22" customHeight="1" spans="1:7" x14ac:dyDescent="0.25">
      <c r="A508" s="36">
        <f>IF((ROW()-3)&lt;=('首頁'!$B$8*12),ROW()-3,"")</f>
      </c>
      <c r="B508" s="37">
        <f>IF((ROW()-3)&lt;=('首頁'!$B$8*12),C508+D508,"")</f>
      </c>
      <c r="C508" s="38">
        <f>IF((ROW()-3)&lt;=('首頁'!$B$8*12),G508*'首頁'!$B$7/12/100,"")</f>
      </c>
      <c r="D508" s="38">
        <f>IF((ROW()-3)&lt;=('首頁'!$B$8*12),IF(ROW()-3=('首頁'!$B$8*12),G508,MIN(G508,'首頁'!$B$6/('首頁'!$B$8*12))),"")</f>
      </c>
      <c r="E508" s="38">
        <f>IF((ROW()-3)&lt;=('首頁'!$B$8*12),G508-D508,"")</f>
      </c>
      <c r="G508" s="39">
        <f>IF((ROW()-3)&lt;=('首頁'!$B$8*12),E507,"")</f>
      </c>
    </row>
    <row r="509" ht="22" customHeight="1" spans="1:7" x14ac:dyDescent="0.25">
      <c r="A509" s="40">
        <f>IF((ROW()-3)&lt;=('首頁'!$B$8*12),ROW()-3,"")</f>
      </c>
      <c r="B509" s="41">
        <f>IF((ROW()-3)&lt;=('首頁'!$B$8*12),C509+D509,"")</f>
      </c>
      <c r="C509" s="42">
        <f>IF((ROW()-3)&lt;=('首頁'!$B$8*12),G509*'首頁'!$B$7/12/100,"")</f>
      </c>
      <c r="D509" s="42">
        <f>IF((ROW()-3)&lt;=('首頁'!$B$8*12),IF(ROW()-3=('首頁'!$B$8*12),G509,MIN(G509,'首頁'!$B$6/('首頁'!$B$8*12))),"")</f>
      </c>
      <c r="E509" s="42">
        <f>IF((ROW()-3)&lt;=('首頁'!$B$8*12),G509-D509,"")</f>
      </c>
      <c r="G509" s="39">
        <f>IF((ROW()-3)&lt;=('首頁'!$B$8*12),E508,"")</f>
      </c>
    </row>
    <row r="510" ht="22" customHeight="1" spans="1:7" x14ac:dyDescent="0.25">
      <c r="A510" s="36">
        <f>IF((ROW()-3)&lt;=('首頁'!$B$8*12),ROW()-3,"")</f>
      </c>
      <c r="B510" s="37">
        <f>IF((ROW()-3)&lt;=('首頁'!$B$8*12),C510+D510,"")</f>
      </c>
      <c r="C510" s="38">
        <f>IF((ROW()-3)&lt;=('首頁'!$B$8*12),G510*'首頁'!$B$7/12/100,"")</f>
      </c>
      <c r="D510" s="38">
        <f>IF((ROW()-3)&lt;=('首頁'!$B$8*12),IF(ROW()-3=('首頁'!$B$8*12),G510,MIN(G510,'首頁'!$B$6/('首頁'!$B$8*12))),"")</f>
      </c>
      <c r="E510" s="38">
        <f>IF((ROW()-3)&lt;=('首頁'!$B$8*12),G510-D510,"")</f>
      </c>
      <c r="G510" s="39">
        <f>IF((ROW()-3)&lt;=('首頁'!$B$8*12),E509,"")</f>
      </c>
    </row>
    <row r="511" ht="22" customHeight="1" spans="1:7" x14ac:dyDescent="0.25">
      <c r="A511" s="40">
        <f>IF((ROW()-3)&lt;=('首頁'!$B$8*12),ROW()-3,"")</f>
      </c>
      <c r="B511" s="41">
        <f>IF((ROW()-3)&lt;=('首頁'!$B$8*12),C511+D511,"")</f>
      </c>
      <c r="C511" s="42">
        <f>IF((ROW()-3)&lt;=('首頁'!$B$8*12),G511*'首頁'!$B$7/12/100,"")</f>
      </c>
      <c r="D511" s="42">
        <f>IF((ROW()-3)&lt;=('首頁'!$B$8*12),IF(ROW()-3=('首頁'!$B$8*12),G511,MIN(G511,'首頁'!$B$6/('首頁'!$B$8*12))),"")</f>
      </c>
      <c r="E511" s="42">
        <f>IF((ROW()-3)&lt;=('首頁'!$B$8*12),G511-D511,"")</f>
      </c>
      <c r="G511" s="39">
        <f>IF((ROW()-3)&lt;=('首頁'!$B$8*12),E510,"")</f>
      </c>
    </row>
    <row r="512" ht="22" customHeight="1" spans="1:7" x14ac:dyDescent="0.25">
      <c r="A512" s="36">
        <f>IF((ROW()-3)&lt;=('首頁'!$B$8*12),ROW()-3,"")</f>
      </c>
      <c r="B512" s="37">
        <f>IF((ROW()-3)&lt;=('首頁'!$B$8*12),C512+D512,"")</f>
      </c>
      <c r="C512" s="38">
        <f>IF((ROW()-3)&lt;=('首頁'!$B$8*12),G512*'首頁'!$B$7/12/100,"")</f>
      </c>
      <c r="D512" s="38">
        <f>IF((ROW()-3)&lt;=('首頁'!$B$8*12),IF(ROW()-3=('首頁'!$B$8*12),G512,MIN(G512,'首頁'!$B$6/('首頁'!$B$8*12))),"")</f>
      </c>
      <c r="E512" s="38">
        <f>IF((ROW()-3)&lt;=('首頁'!$B$8*12),G512-D512,"")</f>
      </c>
      <c r="G512" s="39">
        <f>IF((ROW()-3)&lt;=('首頁'!$B$8*12),E511,"")</f>
      </c>
    </row>
    <row r="513" ht="22" customHeight="1" spans="1:7" x14ac:dyDescent="0.25">
      <c r="A513" s="40">
        <f>IF((ROW()-3)&lt;=('首頁'!$B$8*12),ROW()-3,"")</f>
      </c>
      <c r="B513" s="41">
        <f>IF((ROW()-3)&lt;=('首頁'!$B$8*12),C513+D513,"")</f>
      </c>
      <c r="C513" s="42">
        <f>IF((ROW()-3)&lt;=('首頁'!$B$8*12),G513*'首頁'!$B$7/12/100,"")</f>
      </c>
      <c r="D513" s="42">
        <f>IF((ROW()-3)&lt;=('首頁'!$B$8*12),IF(ROW()-3=('首頁'!$B$8*12),G513,MIN(G513,'首頁'!$B$6/('首頁'!$B$8*12))),"")</f>
      </c>
      <c r="E513" s="42">
        <f>IF((ROW()-3)&lt;=('首頁'!$B$8*12),G513-D513,"")</f>
      </c>
      <c r="G513" s="39">
        <f>IF((ROW()-3)&lt;=('首頁'!$B$8*12),E512,"")</f>
      </c>
    </row>
    <row r="514" ht="22" customHeight="1" spans="1:7" x14ac:dyDescent="0.25">
      <c r="A514" s="36">
        <f>IF((ROW()-3)&lt;=('首頁'!$B$8*12),ROW()-3,"")</f>
      </c>
      <c r="B514" s="37">
        <f>IF((ROW()-3)&lt;=('首頁'!$B$8*12),C514+D514,"")</f>
      </c>
      <c r="C514" s="38">
        <f>IF((ROW()-3)&lt;=('首頁'!$B$8*12),G514*'首頁'!$B$7/12/100,"")</f>
      </c>
      <c r="D514" s="38">
        <f>IF((ROW()-3)&lt;=('首頁'!$B$8*12),IF(ROW()-3=('首頁'!$B$8*12),G514,MIN(G514,'首頁'!$B$6/('首頁'!$B$8*12))),"")</f>
      </c>
      <c r="E514" s="38">
        <f>IF((ROW()-3)&lt;=('首頁'!$B$8*12),G514-D514,"")</f>
      </c>
      <c r="G514" s="39">
        <f>IF((ROW()-3)&lt;=('首頁'!$B$8*12),E513,"")</f>
      </c>
    </row>
    <row r="515" ht="22" customHeight="1" spans="1:7" x14ac:dyDescent="0.25">
      <c r="A515" s="40">
        <f>IF((ROW()-3)&lt;=('首頁'!$B$8*12),ROW()-3,"")</f>
      </c>
      <c r="B515" s="41">
        <f>IF((ROW()-3)&lt;=('首頁'!$B$8*12),C515+D515,"")</f>
      </c>
      <c r="C515" s="42">
        <f>IF((ROW()-3)&lt;=('首頁'!$B$8*12),G515*'首頁'!$B$7/12/100,"")</f>
      </c>
      <c r="D515" s="42">
        <f>IF((ROW()-3)&lt;=('首頁'!$B$8*12),IF(ROW()-3=('首頁'!$B$8*12),G515,MIN(G515,'首頁'!$B$6/('首頁'!$B$8*12))),"")</f>
      </c>
      <c r="E515" s="42">
        <f>IF((ROW()-3)&lt;=('首頁'!$B$8*12),G515-D515,"")</f>
      </c>
      <c r="G515" s="39">
        <f>IF((ROW()-3)&lt;=('首頁'!$B$8*12),E514,"")</f>
      </c>
    </row>
    <row r="516" ht="22" customHeight="1" spans="1:7" x14ac:dyDescent="0.25">
      <c r="A516" s="36">
        <f>IF((ROW()-3)&lt;=('首頁'!$B$8*12),ROW()-3,"")</f>
      </c>
      <c r="B516" s="37">
        <f>IF((ROW()-3)&lt;=('首頁'!$B$8*12),C516+D516,"")</f>
      </c>
      <c r="C516" s="38">
        <f>IF((ROW()-3)&lt;=('首頁'!$B$8*12),G516*'首頁'!$B$7/12/100,"")</f>
      </c>
      <c r="D516" s="38">
        <f>IF((ROW()-3)&lt;=('首頁'!$B$8*12),IF(ROW()-3=('首頁'!$B$8*12),G516,MIN(G516,'首頁'!$B$6/('首頁'!$B$8*12))),"")</f>
      </c>
      <c r="E516" s="38">
        <f>IF((ROW()-3)&lt;=('首頁'!$B$8*12),G516-D516,"")</f>
      </c>
      <c r="G516" s="39">
        <f>IF((ROW()-3)&lt;=('首頁'!$B$8*12),E515,"")</f>
      </c>
    </row>
    <row r="517" ht="22" customHeight="1" spans="1:7" x14ac:dyDescent="0.25">
      <c r="A517" s="40">
        <f>IF((ROW()-3)&lt;=('首頁'!$B$8*12),ROW()-3,"")</f>
      </c>
      <c r="B517" s="41">
        <f>IF((ROW()-3)&lt;=('首頁'!$B$8*12),C517+D517,"")</f>
      </c>
      <c r="C517" s="42">
        <f>IF((ROW()-3)&lt;=('首頁'!$B$8*12),G517*'首頁'!$B$7/12/100,"")</f>
      </c>
      <c r="D517" s="42">
        <f>IF((ROW()-3)&lt;=('首頁'!$B$8*12),IF(ROW()-3=('首頁'!$B$8*12),G517,MIN(G517,'首頁'!$B$6/('首頁'!$B$8*12))),"")</f>
      </c>
      <c r="E517" s="42">
        <f>IF((ROW()-3)&lt;=('首頁'!$B$8*12),G517-D517,"")</f>
      </c>
      <c r="G517" s="39">
        <f>IF((ROW()-3)&lt;=('首頁'!$B$8*12),E516,"")</f>
      </c>
    </row>
    <row r="518" ht="22" customHeight="1" spans="1:7" x14ac:dyDescent="0.25">
      <c r="A518" s="36">
        <f>IF((ROW()-3)&lt;=('首頁'!$B$8*12),ROW()-3,"")</f>
      </c>
      <c r="B518" s="37">
        <f>IF((ROW()-3)&lt;=('首頁'!$B$8*12),C518+D518,"")</f>
      </c>
      <c r="C518" s="38">
        <f>IF((ROW()-3)&lt;=('首頁'!$B$8*12),G518*'首頁'!$B$7/12/100,"")</f>
      </c>
      <c r="D518" s="38">
        <f>IF((ROW()-3)&lt;=('首頁'!$B$8*12),IF(ROW()-3=('首頁'!$B$8*12),G518,MIN(G518,'首頁'!$B$6/('首頁'!$B$8*12))),"")</f>
      </c>
      <c r="E518" s="38">
        <f>IF((ROW()-3)&lt;=('首頁'!$B$8*12),G518-D518,"")</f>
      </c>
      <c r="G518" s="39">
        <f>IF((ROW()-3)&lt;=('首頁'!$B$8*12),E517,"")</f>
      </c>
    </row>
    <row r="519" ht="22" customHeight="1" spans="1:7" x14ac:dyDescent="0.25">
      <c r="A519" s="40">
        <f>IF((ROW()-3)&lt;=('首頁'!$B$8*12),ROW()-3,"")</f>
      </c>
      <c r="B519" s="41">
        <f>IF((ROW()-3)&lt;=('首頁'!$B$8*12),C519+D519,"")</f>
      </c>
      <c r="C519" s="42">
        <f>IF((ROW()-3)&lt;=('首頁'!$B$8*12),G519*'首頁'!$B$7/12/100,"")</f>
      </c>
      <c r="D519" s="42">
        <f>IF((ROW()-3)&lt;=('首頁'!$B$8*12),IF(ROW()-3=('首頁'!$B$8*12),G519,MIN(G519,'首頁'!$B$6/('首頁'!$B$8*12))),"")</f>
      </c>
      <c r="E519" s="42">
        <f>IF((ROW()-3)&lt;=('首頁'!$B$8*12),G519-D519,"")</f>
      </c>
      <c r="G519" s="39">
        <f>IF((ROW()-3)&lt;=('首頁'!$B$8*12),E518,"")</f>
      </c>
    </row>
    <row r="520" ht="22" customHeight="1" spans="1:7" x14ac:dyDescent="0.25">
      <c r="A520" s="36">
        <f>IF((ROW()-3)&lt;=('首頁'!$B$8*12),ROW()-3,"")</f>
      </c>
      <c r="B520" s="37">
        <f>IF((ROW()-3)&lt;=('首頁'!$B$8*12),C520+D520,"")</f>
      </c>
      <c r="C520" s="38">
        <f>IF((ROW()-3)&lt;=('首頁'!$B$8*12),G520*'首頁'!$B$7/12/100,"")</f>
      </c>
      <c r="D520" s="38">
        <f>IF((ROW()-3)&lt;=('首頁'!$B$8*12),IF(ROW()-3=('首頁'!$B$8*12),G520,MIN(G520,'首頁'!$B$6/('首頁'!$B$8*12))),"")</f>
      </c>
      <c r="E520" s="38">
        <f>IF((ROW()-3)&lt;=('首頁'!$B$8*12),G520-D520,"")</f>
      </c>
      <c r="G520" s="39">
        <f>IF((ROW()-3)&lt;=('首頁'!$B$8*12),E519,"")</f>
      </c>
    </row>
    <row r="521" ht="22" customHeight="1" spans="1:7" x14ac:dyDescent="0.25">
      <c r="A521" s="40">
        <f>IF((ROW()-3)&lt;=('首頁'!$B$8*12),ROW()-3,"")</f>
      </c>
      <c r="B521" s="41">
        <f>IF((ROW()-3)&lt;=('首頁'!$B$8*12),C521+D521,"")</f>
      </c>
      <c r="C521" s="42">
        <f>IF((ROW()-3)&lt;=('首頁'!$B$8*12),G521*'首頁'!$B$7/12/100,"")</f>
      </c>
      <c r="D521" s="42">
        <f>IF((ROW()-3)&lt;=('首頁'!$B$8*12),IF(ROW()-3=('首頁'!$B$8*12),G521,MIN(G521,'首頁'!$B$6/('首頁'!$B$8*12))),"")</f>
      </c>
      <c r="E521" s="42">
        <f>IF((ROW()-3)&lt;=('首頁'!$B$8*12),G521-D521,"")</f>
      </c>
      <c r="G521" s="39">
        <f>IF((ROW()-3)&lt;=('首頁'!$B$8*12),E520,"")</f>
      </c>
    </row>
    <row r="522" ht="22" customHeight="1" spans="1:7" x14ac:dyDescent="0.25">
      <c r="A522" s="36">
        <f>IF((ROW()-3)&lt;=('首頁'!$B$8*12),ROW()-3,"")</f>
      </c>
      <c r="B522" s="37">
        <f>IF((ROW()-3)&lt;=('首頁'!$B$8*12),C522+D522,"")</f>
      </c>
      <c r="C522" s="38">
        <f>IF((ROW()-3)&lt;=('首頁'!$B$8*12),G522*'首頁'!$B$7/12/100,"")</f>
      </c>
      <c r="D522" s="38">
        <f>IF((ROW()-3)&lt;=('首頁'!$B$8*12),IF(ROW()-3=('首頁'!$B$8*12),G522,MIN(G522,'首頁'!$B$6/('首頁'!$B$8*12))),"")</f>
      </c>
      <c r="E522" s="38">
        <f>IF((ROW()-3)&lt;=('首頁'!$B$8*12),G522-D522,"")</f>
      </c>
      <c r="G522" s="39">
        <f>IF((ROW()-3)&lt;=('首頁'!$B$8*12),E521,"")</f>
      </c>
    </row>
    <row r="523" ht="22" customHeight="1" spans="1:7" x14ac:dyDescent="0.25">
      <c r="A523" s="40">
        <f>IF((ROW()-3)&lt;=('首頁'!$B$8*12),ROW()-3,"")</f>
      </c>
      <c r="B523" s="41">
        <f>IF((ROW()-3)&lt;=('首頁'!$B$8*12),C523+D523,"")</f>
      </c>
      <c r="C523" s="42">
        <f>IF((ROW()-3)&lt;=('首頁'!$B$8*12),G523*'首頁'!$B$7/12/100,"")</f>
      </c>
      <c r="D523" s="42">
        <f>IF((ROW()-3)&lt;=('首頁'!$B$8*12),IF(ROW()-3=('首頁'!$B$8*12),G523,MIN(G523,'首頁'!$B$6/('首頁'!$B$8*12))),"")</f>
      </c>
      <c r="E523" s="42">
        <f>IF((ROW()-3)&lt;=('首頁'!$B$8*12),G523-D523,"")</f>
      </c>
      <c r="G523" s="39">
        <f>IF((ROW()-3)&lt;=('首頁'!$B$8*12),E522,"")</f>
      </c>
    </row>
    <row r="524" ht="22" customHeight="1" spans="1:7" x14ac:dyDescent="0.25">
      <c r="A524" s="36">
        <f>IF((ROW()-3)&lt;=('首頁'!$B$8*12),ROW()-3,"")</f>
      </c>
      <c r="B524" s="37">
        <f>IF((ROW()-3)&lt;=('首頁'!$B$8*12),C524+D524,"")</f>
      </c>
      <c r="C524" s="38">
        <f>IF((ROW()-3)&lt;=('首頁'!$B$8*12),G524*'首頁'!$B$7/12/100,"")</f>
      </c>
      <c r="D524" s="38">
        <f>IF((ROW()-3)&lt;=('首頁'!$B$8*12),IF(ROW()-3=('首頁'!$B$8*12),G524,MIN(G524,'首頁'!$B$6/('首頁'!$B$8*12))),"")</f>
      </c>
      <c r="E524" s="38">
        <f>IF((ROW()-3)&lt;=('首頁'!$B$8*12),G524-D524,"")</f>
      </c>
      <c r="G524" s="39">
        <f>IF((ROW()-3)&lt;=('首頁'!$B$8*12),E523,"")</f>
      </c>
    </row>
    <row r="525" ht="22" customHeight="1" spans="1:7" x14ac:dyDescent="0.25">
      <c r="A525" s="40">
        <f>IF((ROW()-3)&lt;=('首頁'!$B$8*12),ROW()-3,"")</f>
      </c>
      <c r="B525" s="41">
        <f>IF((ROW()-3)&lt;=('首頁'!$B$8*12),C525+D525,"")</f>
      </c>
      <c r="C525" s="42">
        <f>IF((ROW()-3)&lt;=('首頁'!$B$8*12),G525*'首頁'!$B$7/12/100,"")</f>
      </c>
      <c r="D525" s="42">
        <f>IF((ROW()-3)&lt;=('首頁'!$B$8*12),IF(ROW()-3=('首頁'!$B$8*12),G525,MIN(G525,'首頁'!$B$6/('首頁'!$B$8*12))),"")</f>
      </c>
      <c r="E525" s="42">
        <f>IF((ROW()-3)&lt;=('首頁'!$B$8*12),G525-D525,"")</f>
      </c>
      <c r="G525" s="39">
        <f>IF((ROW()-3)&lt;=('首頁'!$B$8*12),E524,"")</f>
      </c>
    </row>
    <row r="526" ht="22" customHeight="1" spans="1:7" x14ac:dyDescent="0.25">
      <c r="A526" s="36">
        <f>IF((ROW()-3)&lt;=('首頁'!$B$8*12),ROW()-3,"")</f>
      </c>
      <c r="B526" s="37">
        <f>IF((ROW()-3)&lt;=('首頁'!$B$8*12),C526+D526,"")</f>
      </c>
      <c r="C526" s="38">
        <f>IF((ROW()-3)&lt;=('首頁'!$B$8*12),G526*'首頁'!$B$7/12/100,"")</f>
      </c>
      <c r="D526" s="38">
        <f>IF((ROW()-3)&lt;=('首頁'!$B$8*12),IF(ROW()-3=('首頁'!$B$8*12),G526,MIN(G526,'首頁'!$B$6/('首頁'!$B$8*12))),"")</f>
      </c>
      <c r="E526" s="38">
        <f>IF((ROW()-3)&lt;=('首頁'!$B$8*12),G526-D526,"")</f>
      </c>
      <c r="G526" s="39">
        <f>IF((ROW()-3)&lt;=('首頁'!$B$8*12),E525,"")</f>
      </c>
    </row>
    <row r="527" ht="22" customHeight="1" spans="1:7" x14ac:dyDescent="0.25">
      <c r="A527" s="40">
        <f>IF((ROW()-3)&lt;=('首頁'!$B$8*12),ROW()-3,"")</f>
      </c>
      <c r="B527" s="41">
        <f>IF((ROW()-3)&lt;=('首頁'!$B$8*12),C527+D527,"")</f>
      </c>
      <c r="C527" s="42">
        <f>IF((ROW()-3)&lt;=('首頁'!$B$8*12),G527*'首頁'!$B$7/12/100,"")</f>
      </c>
      <c r="D527" s="42">
        <f>IF((ROW()-3)&lt;=('首頁'!$B$8*12),IF(ROW()-3=('首頁'!$B$8*12),G527,MIN(G527,'首頁'!$B$6/('首頁'!$B$8*12))),"")</f>
      </c>
      <c r="E527" s="42">
        <f>IF((ROW()-3)&lt;=('首頁'!$B$8*12),G527-D527,"")</f>
      </c>
      <c r="G527" s="39">
        <f>IF((ROW()-3)&lt;=('首頁'!$B$8*12),E526,"")</f>
      </c>
    </row>
    <row r="528" ht="22" customHeight="1" spans="1:7" x14ac:dyDescent="0.25">
      <c r="A528" s="36">
        <f>IF((ROW()-3)&lt;=('首頁'!$B$8*12),ROW()-3,"")</f>
      </c>
      <c r="B528" s="37">
        <f>IF((ROW()-3)&lt;=('首頁'!$B$8*12),C528+D528,"")</f>
      </c>
      <c r="C528" s="38">
        <f>IF((ROW()-3)&lt;=('首頁'!$B$8*12),G528*'首頁'!$B$7/12/100,"")</f>
      </c>
      <c r="D528" s="38">
        <f>IF((ROW()-3)&lt;=('首頁'!$B$8*12),IF(ROW()-3=('首頁'!$B$8*12),G528,MIN(G528,'首頁'!$B$6/('首頁'!$B$8*12))),"")</f>
      </c>
      <c r="E528" s="38">
        <f>IF((ROW()-3)&lt;=('首頁'!$B$8*12),G528-D528,"")</f>
      </c>
      <c r="G528" s="39">
        <f>IF((ROW()-3)&lt;=('首頁'!$B$8*12),E527,"")</f>
      </c>
    </row>
    <row r="529" ht="22" customHeight="1" spans="1:7" x14ac:dyDescent="0.25">
      <c r="A529" s="40">
        <f>IF((ROW()-3)&lt;=('首頁'!$B$8*12),ROW()-3,"")</f>
      </c>
      <c r="B529" s="41">
        <f>IF((ROW()-3)&lt;=('首頁'!$B$8*12),C529+D529,"")</f>
      </c>
      <c r="C529" s="42">
        <f>IF((ROW()-3)&lt;=('首頁'!$B$8*12),G529*'首頁'!$B$7/12/100,"")</f>
      </c>
      <c r="D529" s="42">
        <f>IF((ROW()-3)&lt;=('首頁'!$B$8*12),IF(ROW()-3=('首頁'!$B$8*12),G529,MIN(G529,'首頁'!$B$6/('首頁'!$B$8*12))),"")</f>
      </c>
      <c r="E529" s="42">
        <f>IF((ROW()-3)&lt;=('首頁'!$B$8*12),G529-D529,"")</f>
      </c>
      <c r="G529" s="39">
        <f>IF((ROW()-3)&lt;=('首頁'!$B$8*12),E528,"")</f>
      </c>
    </row>
    <row r="530" ht="22" customHeight="1" spans="1:7" x14ac:dyDescent="0.25">
      <c r="A530" s="36">
        <f>IF((ROW()-3)&lt;=('首頁'!$B$8*12),ROW()-3,"")</f>
      </c>
      <c r="B530" s="37">
        <f>IF((ROW()-3)&lt;=('首頁'!$B$8*12),C530+D530,"")</f>
      </c>
      <c r="C530" s="38">
        <f>IF((ROW()-3)&lt;=('首頁'!$B$8*12),G530*'首頁'!$B$7/12/100,"")</f>
      </c>
      <c r="D530" s="38">
        <f>IF((ROW()-3)&lt;=('首頁'!$B$8*12),IF(ROW()-3=('首頁'!$B$8*12),G530,MIN(G530,'首頁'!$B$6/('首頁'!$B$8*12))),"")</f>
      </c>
      <c r="E530" s="38">
        <f>IF((ROW()-3)&lt;=('首頁'!$B$8*12),G530-D530,"")</f>
      </c>
      <c r="G530" s="39">
        <f>IF((ROW()-3)&lt;=('首頁'!$B$8*12),E529,"")</f>
      </c>
    </row>
    <row r="531" ht="22" customHeight="1" spans="1:7" x14ac:dyDescent="0.25">
      <c r="A531" s="40">
        <f>IF((ROW()-3)&lt;=('首頁'!$B$8*12),ROW()-3,"")</f>
      </c>
      <c r="B531" s="41">
        <f>IF((ROW()-3)&lt;=('首頁'!$B$8*12),C531+D531,"")</f>
      </c>
      <c r="C531" s="42">
        <f>IF((ROW()-3)&lt;=('首頁'!$B$8*12),G531*'首頁'!$B$7/12/100,"")</f>
      </c>
      <c r="D531" s="42">
        <f>IF((ROW()-3)&lt;=('首頁'!$B$8*12),IF(ROW()-3=('首頁'!$B$8*12),G531,MIN(G531,'首頁'!$B$6/('首頁'!$B$8*12))),"")</f>
      </c>
      <c r="E531" s="42">
        <f>IF((ROW()-3)&lt;=('首頁'!$B$8*12),G531-D531,"")</f>
      </c>
      <c r="G531" s="39">
        <f>IF((ROW()-3)&lt;=('首頁'!$B$8*12),E530,"")</f>
      </c>
    </row>
    <row r="532" ht="22" customHeight="1" spans="1:7" x14ac:dyDescent="0.25">
      <c r="A532" s="36">
        <f>IF((ROW()-3)&lt;=('首頁'!$B$8*12),ROW()-3,"")</f>
      </c>
      <c r="B532" s="37">
        <f>IF((ROW()-3)&lt;=('首頁'!$B$8*12),C532+D532,"")</f>
      </c>
      <c r="C532" s="38">
        <f>IF((ROW()-3)&lt;=('首頁'!$B$8*12),G532*'首頁'!$B$7/12/100,"")</f>
      </c>
      <c r="D532" s="38">
        <f>IF((ROW()-3)&lt;=('首頁'!$B$8*12),IF(ROW()-3=('首頁'!$B$8*12),G532,MIN(G532,'首頁'!$B$6/('首頁'!$B$8*12))),"")</f>
      </c>
      <c r="E532" s="38">
        <f>IF((ROW()-3)&lt;=('首頁'!$B$8*12),G532-D532,"")</f>
      </c>
      <c r="G532" s="39">
        <f>IF((ROW()-3)&lt;=('首頁'!$B$8*12),E531,"")</f>
      </c>
    </row>
    <row r="533" ht="22" customHeight="1" spans="1:7" x14ac:dyDescent="0.25">
      <c r="A533" s="40">
        <f>IF((ROW()-3)&lt;=('首頁'!$B$8*12),ROW()-3,"")</f>
      </c>
      <c r="B533" s="41">
        <f>IF((ROW()-3)&lt;=('首頁'!$B$8*12),C533+D533,"")</f>
      </c>
      <c r="C533" s="42">
        <f>IF((ROW()-3)&lt;=('首頁'!$B$8*12),G533*'首頁'!$B$7/12/100,"")</f>
      </c>
      <c r="D533" s="42">
        <f>IF((ROW()-3)&lt;=('首頁'!$B$8*12),IF(ROW()-3=('首頁'!$B$8*12),G533,MIN(G533,'首頁'!$B$6/('首頁'!$B$8*12))),"")</f>
      </c>
      <c r="E533" s="42">
        <f>IF((ROW()-3)&lt;=('首頁'!$B$8*12),G533-D533,"")</f>
      </c>
      <c r="G533" s="39">
        <f>IF((ROW()-3)&lt;=('首頁'!$B$8*12),E532,"")</f>
      </c>
    </row>
    <row r="534" ht="22" customHeight="1" spans="1:7" x14ac:dyDescent="0.25">
      <c r="A534" s="36">
        <f>IF((ROW()-3)&lt;=('首頁'!$B$8*12),ROW()-3,"")</f>
      </c>
      <c r="B534" s="37">
        <f>IF((ROW()-3)&lt;=('首頁'!$B$8*12),C534+D534,"")</f>
      </c>
      <c r="C534" s="38">
        <f>IF((ROW()-3)&lt;=('首頁'!$B$8*12),G534*'首頁'!$B$7/12/100,"")</f>
      </c>
      <c r="D534" s="38">
        <f>IF((ROW()-3)&lt;=('首頁'!$B$8*12),IF(ROW()-3=('首頁'!$B$8*12),G534,MIN(G534,'首頁'!$B$6/('首頁'!$B$8*12))),"")</f>
      </c>
      <c r="E534" s="38">
        <f>IF((ROW()-3)&lt;=('首頁'!$B$8*12),G534-D534,"")</f>
      </c>
      <c r="G534" s="39">
        <f>IF((ROW()-3)&lt;=('首頁'!$B$8*12),E533,"")</f>
      </c>
    </row>
    <row r="535" ht="22" customHeight="1" spans="1:7" x14ac:dyDescent="0.25">
      <c r="A535" s="40">
        <f>IF((ROW()-3)&lt;=('首頁'!$B$8*12),ROW()-3,"")</f>
      </c>
      <c r="B535" s="41">
        <f>IF((ROW()-3)&lt;=('首頁'!$B$8*12),C535+D535,"")</f>
      </c>
      <c r="C535" s="42">
        <f>IF((ROW()-3)&lt;=('首頁'!$B$8*12),G535*'首頁'!$B$7/12/100,"")</f>
      </c>
      <c r="D535" s="42">
        <f>IF((ROW()-3)&lt;=('首頁'!$B$8*12),IF(ROW()-3=('首頁'!$B$8*12),G535,MIN(G535,'首頁'!$B$6/('首頁'!$B$8*12))),"")</f>
      </c>
      <c r="E535" s="42">
        <f>IF((ROW()-3)&lt;=('首頁'!$B$8*12),G535-D535,"")</f>
      </c>
      <c r="G535" s="39">
        <f>IF((ROW()-3)&lt;=('首頁'!$B$8*12),E534,"")</f>
      </c>
    </row>
    <row r="536" ht="22" customHeight="1" spans="1:7" x14ac:dyDescent="0.25">
      <c r="A536" s="36">
        <f>IF((ROW()-3)&lt;=('首頁'!$B$8*12),ROW()-3,"")</f>
      </c>
      <c r="B536" s="37">
        <f>IF((ROW()-3)&lt;=('首頁'!$B$8*12),C536+D536,"")</f>
      </c>
      <c r="C536" s="38">
        <f>IF((ROW()-3)&lt;=('首頁'!$B$8*12),G536*'首頁'!$B$7/12/100,"")</f>
      </c>
      <c r="D536" s="38">
        <f>IF((ROW()-3)&lt;=('首頁'!$B$8*12),IF(ROW()-3=('首頁'!$B$8*12),G536,MIN(G536,'首頁'!$B$6/('首頁'!$B$8*12))),"")</f>
      </c>
      <c r="E536" s="38">
        <f>IF((ROW()-3)&lt;=('首頁'!$B$8*12),G536-D536,"")</f>
      </c>
      <c r="G536" s="39">
        <f>IF((ROW()-3)&lt;=('首頁'!$B$8*12),E535,"")</f>
      </c>
    </row>
    <row r="537" ht="22" customHeight="1" spans="1:7" x14ac:dyDescent="0.25">
      <c r="A537" s="40">
        <f>IF((ROW()-3)&lt;=('首頁'!$B$8*12),ROW()-3,"")</f>
      </c>
      <c r="B537" s="41">
        <f>IF((ROW()-3)&lt;=('首頁'!$B$8*12),C537+D537,"")</f>
      </c>
      <c r="C537" s="42">
        <f>IF((ROW()-3)&lt;=('首頁'!$B$8*12),G537*'首頁'!$B$7/12/100,"")</f>
      </c>
      <c r="D537" s="42">
        <f>IF((ROW()-3)&lt;=('首頁'!$B$8*12),IF(ROW()-3=('首頁'!$B$8*12),G537,MIN(G537,'首頁'!$B$6/('首頁'!$B$8*12))),"")</f>
      </c>
      <c r="E537" s="42">
        <f>IF((ROW()-3)&lt;=('首頁'!$B$8*12),G537-D537,"")</f>
      </c>
      <c r="G537" s="39">
        <f>IF((ROW()-3)&lt;=('首頁'!$B$8*12),E536,"")</f>
      </c>
    </row>
    <row r="538" ht="22" customHeight="1" spans="1:7" x14ac:dyDescent="0.25">
      <c r="A538" s="36">
        <f>IF((ROW()-3)&lt;=('首頁'!$B$8*12),ROW()-3,"")</f>
      </c>
      <c r="B538" s="37">
        <f>IF((ROW()-3)&lt;=('首頁'!$B$8*12),C538+D538,"")</f>
      </c>
      <c r="C538" s="38">
        <f>IF((ROW()-3)&lt;=('首頁'!$B$8*12),G538*'首頁'!$B$7/12/100,"")</f>
      </c>
      <c r="D538" s="38">
        <f>IF((ROW()-3)&lt;=('首頁'!$B$8*12),IF(ROW()-3=('首頁'!$B$8*12),G538,MIN(G538,'首頁'!$B$6/('首頁'!$B$8*12))),"")</f>
      </c>
      <c r="E538" s="38">
        <f>IF((ROW()-3)&lt;=('首頁'!$B$8*12),G538-D538,"")</f>
      </c>
      <c r="G538" s="39">
        <f>IF((ROW()-3)&lt;=('首頁'!$B$8*12),E537,"")</f>
      </c>
    </row>
    <row r="539" ht="22" customHeight="1" spans="1:7" x14ac:dyDescent="0.25">
      <c r="A539" s="40">
        <f>IF((ROW()-3)&lt;=('首頁'!$B$8*12),ROW()-3,"")</f>
      </c>
      <c r="B539" s="41">
        <f>IF((ROW()-3)&lt;=('首頁'!$B$8*12),C539+D539,"")</f>
      </c>
      <c r="C539" s="42">
        <f>IF((ROW()-3)&lt;=('首頁'!$B$8*12),G539*'首頁'!$B$7/12/100,"")</f>
      </c>
      <c r="D539" s="42">
        <f>IF((ROW()-3)&lt;=('首頁'!$B$8*12),IF(ROW()-3=('首頁'!$B$8*12),G539,MIN(G539,'首頁'!$B$6/('首頁'!$B$8*12))),"")</f>
      </c>
      <c r="E539" s="42">
        <f>IF((ROW()-3)&lt;=('首頁'!$B$8*12),G539-D539,"")</f>
      </c>
      <c r="G539" s="39">
        <f>IF((ROW()-3)&lt;=('首頁'!$B$8*12),E538,"")</f>
      </c>
    </row>
    <row r="540" ht="22" customHeight="1" spans="1:7" x14ac:dyDescent="0.25">
      <c r="A540" s="36">
        <f>IF((ROW()-3)&lt;=('首頁'!$B$8*12),ROW()-3,"")</f>
      </c>
      <c r="B540" s="37">
        <f>IF((ROW()-3)&lt;=('首頁'!$B$8*12),C540+D540,"")</f>
      </c>
      <c r="C540" s="38">
        <f>IF((ROW()-3)&lt;=('首頁'!$B$8*12),G540*'首頁'!$B$7/12/100,"")</f>
      </c>
      <c r="D540" s="38">
        <f>IF((ROW()-3)&lt;=('首頁'!$B$8*12),IF(ROW()-3=('首頁'!$B$8*12),G540,MIN(G540,'首頁'!$B$6/('首頁'!$B$8*12))),"")</f>
      </c>
      <c r="E540" s="38">
        <f>IF((ROW()-3)&lt;=('首頁'!$B$8*12),G540-D540,"")</f>
      </c>
      <c r="G540" s="39">
        <f>IF((ROW()-3)&lt;=('首頁'!$B$8*12),E539,"")</f>
      </c>
    </row>
    <row r="541" ht="22" customHeight="1" spans="1:7" x14ac:dyDescent="0.25">
      <c r="A541" s="40">
        <f>IF((ROW()-3)&lt;=('首頁'!$B$8*12),ROW()-3,"")</f>
      </c>
      <c r="B541" s="41">
        <f>IF((ROW()-3)&lt;=('首頁'!$B$8*12),C541+D541,"")</f>
      </c>
      <c r="C541" s="42">
        <f>IF((ROW()-3)&lt;=('首頁'!$B$8*12),G541*'首頁'!$B$7/12/100,"")</f>
      </c>
      <c r="D541" s="42">
        <f>IF((ROW()-3)&lt;=('首頁'!$B$8*12),IF(ROW()-3=('首頁'!$B$8*12),G541,MIN(G541,'首頁'!$B$6/('首頁'!$B$8*12))),"")</f>
      </c>
      <c r="E541" s="42">
        <f>IF((ROW()-3)&lt;=('首頁'!$B$8*12),G541-D541,"")</f>
      </c>
      <c r="G541" s="39">
        <f>IF((ROW()-3)&lt;=('首頁'!$B$8*12),E540,"")</f>
      </c>
    </row>
    <row r="542" ht="22" customHeight="1" spans="1:7" x14ac:dyDescent="0.25">
      <c r="A542" s="36">
        <f>IF((ROW()-3)&lt;=('首頁'!$B$8*12),ROW()-3,"")</f>
      </c>
      <c r="B542" s="37">
        <f>IF((ROW()-3)&lt;=('首頁'!$B$8*12),C542+D542,"")</f>
      </c>
      <c r="C542" s="38">
        <f>IF((ROW()-3)&lt;=('首頁'!$B$8*12),G542*'首頁'!$B$7/12/100,"")</f>
      </c>
      <c r="D542" s="38">
        <f>IF((ROW()-3)&lt;=('首頁'!$B$8*12),IF(ROW()-3=('首頁'!$B$8*12),G542,MIN(G542,'首頁'!$B$6/('首頁'!$B$8*12))),"")</f>
      </c>
      <c r="E542" s="38">
        <f>IF((ROW()-3)&lt;=('首頁'!$B$8*12),G542-D542,"")</f>
      </c>
      <c r="G542" s="39">
        <f>IF((ROW()-3)&lt;=('首頁'!$B$8*12),E541,"")</f>
      </c>
    </row>
    <row r="543" ht="22" customHeight="1" spans="1:7" x14ac:dyDescent="0.25">
      <c r="A543" s="40">
        <f>IF((ROW()-3)&lt;=('首頁'!$B$8*12),ROW()-3,"")</f>
      </c>
      <c r="B543" s="41">
        <f>IF((ROW()-3)&lt;=('首頁'!$B$8*12),C543+D543,"")</f>
      </c>
      <c r="C543" s="42">
        <f>IF((ROW()-3)&lt;=('首頁'!$B$8*12),G543*'首頁'!$B$7/12/100,"")</f>
      </c>
      <c r="D543" s="42">
        <f>IF((ROW()-3)&lt;=('首頁'!$B$8*12),IF(ROW()-3=('首頁'!$B$8*12),G543,MIN(G543,'首頁'!$B$6/('首頁'!$B$8*12))),"")</f>
      </c>
      <c r="E543" s="42">
        <f>IF((ROW()-3)&lt;=('首頁'!$B$8*12),G543-D543,"")</f>
      </c>
      <c r="G543" s="39">
        <f>IF((ROW()-3)&lt;=('首頁'!$B$8*12),E542,"")</f>
      </c>
    </row>
    <row r="544" ht="22" customHeight="1" spans="1:7" x14ac:dyDescent="0.25">
      <c r="A544" s="36">
        <f>IF((ROW()-3)&lt;=('首頁'!$B$8*12),ROW()-3,"")</f>
      </c>
      <c r="B544" s="37">
        <f>IF((ROW()-3)&lt;=('首頁'!$B$8*12),C544+D544,"")</f>
      </c>
      <c r="C544" s="38">
        <f>IF((ROW()-3)&lt;=('首頁'!$B$8*12),G544*'首頁'!$B$7/12/100,"")</f>
      </c>
      <c r="D544" s="38">
        <f>IF((ROW()-3)&lt;=('首頁'!$B$8*12),IF(ROW()-3=('首頁'!$B$8*12),G544,MIN(G544,'首頁'!$B$6/('首頁'!$B$8*12))),"")</f>
      </c>
      <c r="E544" s="38">
        <f>IF((ROW()-3)&lt;=('首頁'!$B$8*12),G544-D544,"")</f>
      </c>
      <c r="G544" s="39">
        <f>IF((ROW()-3)&lt;=('首頁'!$B$8*12),E543,"")</f>
      </c>
    </row>
    <row r="545" ht="22" customHeight="1" spans="1:7" x14ac:dyDescent="0.25">
      <c r="A545" s="40">
        <f>IF((ROW()-3)&lt;=('首頁'!$B$8*12),ROW()-3,"")</f>
      </c>
      <c r="B545" s="41">
        <f>IF((ROW()-3)&lt;=('首頁'!$B$8*12),C545+D545,"")</f>
      </c>
      <c r="C545" s="42">
        <f>IF((ROW()-3)&lt;=('首頁'!$B$8*12),G545*'首頁'!$B$7/12/100,"")</f>
      </c>
      <c r="D545" s="42">
        <f>IF((ROW()-3)&lt;=('首頁'!$B$8*12),IF(ROW()-3=('首頁'!$B$8*12),G545,MIN(G545,'首頁'!$B$6/('首頁'!$B$8*12))),"")</f>
      </c>
      <c r="E545" s="42">
        <f>IF((ROW()-3)&lt;=('首頁'!$B$8*12),G545-D545,"")</f>
      </c>
      <c r="G545" s="39">
        <f>IF((ROW()-3)&lt;=('首頁'!$B$8*12),E544,"")</f>
      </c>
    </row>
    <row r="546" ht="22" customHeight="1" spans="1:7" x14ac:dyDescent="0.25">
      <c r="A546" s="36">
        <f>IF((ROW()-3)&lt;=('首頁'!$B$8*12),ROW()-3,"")</f>
      </c>
      <c r="B546" s="37">
        <f>IF((ROW()-3)&lt;=('首頁'!$B$8*12),C546+D546,"")</f>
      </c>
      <c r="C546" s="38">
        <f>IF((ROW()-3)&lt;=('首頁'!$B$8*12),G546*'首頁'!$B$7/12/100,"")</f>
      </c>
      <c r="D546" s="38">
        <f>IF((ROW()-3)&lt;=('首頁'!$B$8*12),IF(ROW()-3=('首頁'!$B$8*12),G546,MIN(G546,'首頁'!$B$6/('首頁'!$B$8*12))),"")</f>
      </c>
      <c r="E546" s="38">
        <f>IF((ROW()-3)&lt;=('首頁'!$B$8*12),G546-D546,"")</f>
      </c>
      <c r="G546" s="39">
        <f>IF((ROW()-3)&lt;=('首頁'!$B$8*12),E545,"")</f>
      </c>
    </row>
    <row r="547" ht="22" customHeight="1" spans="1:7" x14ac:dyDescent="0.25">
      <c r="A547" s="40">
        <f>IF((ROW()-3)&lt;=('首頁'!$B$8*12),ROW()-3,"")</f>
      </c>
      <c r="B547" s="41">
        <f>IF((ROW()-3)&lt;=('首頁'!$B$8*12),C547+D547,"")</f>
      </c>
      <c r="C547" s="42">
        <f>IF((ROW()-3)&lt;=('首頁'!$B$8*12),G547*'首頁'!$B$7/12/100,"")</f>
      </c>
      <c r="D547" s="42">
        <f>IF((ROW()-3)&lt;=('首頁'!$B$8*12),IF(ROW()-3=('首頁'!$B$8*12),G547,MIN(G547,'首頁'!$B$6/('首頁'!$B$8*12))),"")</f>
      </c>
      <c r="E547" s="42">
        <f>IF((ROW()-3)&lt;=('首頁'!$B$8*12),G547-D547,"")</f>
      </c>
      <c r="G547" s="39">
        <f>IF((ROW()-3)&lt;=('首頁'!$B$8*12),E546,"")</f>
      </c>
    </row>
    <row r="548" ht="22" customHeight="1" spans="1:7" x14ac:dyDescent="0.25">
      <c r="A548" s="36">
        <f>IF((ROW()-3)&lt;=('首頁'!$B$8*12),ROW()-3,"")</f>
      </c>
      <c r="B548" s="37">
        <f>IF((ROW()-3)&lt;=('首頁'!$B$8*12),C548+D548,"")</f>
      </c>
      <c r="C548" s="38">
        <f>IF((ROW()-3)&lt;=('首頁'!$B$8*12),G548*'首頁'!$B$7/12/100,"")</f>
      </c>
      <c r="D548" s="38">
        <f>IF((ROW()-3)&lt;=('首頁'!$B$8*12),IF(ROW()-3=('首頁'!$B$8*12),G548,MIN(G548,'首頁'!$B$6/('首頁'!$B$8*12))),"")</f>
      </c>
      <c r="E548" s="38">
        <f>IF((ROW()-3)&lt;=('首頁'!$B$8*12),G548-D548,"")</f>
      </c>
      <c r="G548" s="39">
        <f>IF((ROW()-3)&lt;=('首頁'!$B$8*12),E547,"")</f>
      </c>
    </row>
    <row r="549" ht="22" customHeight="1" spans="1:7" x14ac:dyDescent="0.25">
      <c r="A549" s="40">
        <f>IF((ROW()-3)&lt;=('首頁'!$B$8*12),ROW()-3,"")</f>
      </c>
      <c r="B549" s="41">
        <f>IF((ROW()-3)&lt;=('首頁'!$B$8*12),C549+D549,"")</f>
      </c>
      <c r="C549" s="42">
        <f>IF((ROW()-3)&lt;=('首頁'!$B$8*12),G549*'首頁'!$B$7/12/100,"")</f>
      </c>
      <c r="D549" s="42">
        <f>IF((ROW()-3)&lt;=('首頁'!$B$8*12),IF(ROW()-3=('首頁'!$B$8*12),G549,MIN(G549,'首頁'!$B$6/('首頁'!$B$8*12))),"")</f>
      </c>
      <c r="E549" s="42">
        <f>IF((ROW()-3)&lt;=('首頁'!$B$8*12),G549-D549,"")</f>
      </c>
      <c r="G549" s="39">
        <f>IF((ROW()-3)&lt;=('首頁'!$B$8*12),E548,"")</f>
      </c>
    </row>
    <row r="550" ht="22" customHeight="1" spans="1:7" x14ac:dyDescent="0.25">
      <c r="A550" s="36">
        <f>IF((ROW()-3)&lt;=('首頁'!$B$8*12),ROW()-3,"")</f>
      </c>
      <c r="B550" s="37">
        <f>IF((ROW()-3)&lt;=('首頁'!$B$8*12),C550+D550,"")</f>
      </c>
      <c r="C550" s="38">
        <f>IF((ROW()-3)&lt;=('首頁'!$B$8*12),G550*'首頁'!$B$7/12/100,"")</f>
      </c>
      <c r="D550" s="38">
        <f>IF((ROW()-3)&lt;=('首頁'!$B$8*12),IF(ROW()-3=('首頁'!$B$8*12),G550,MIN(G550,'首頁'!$B$6/('首頁'!$B$8*12))),"")</f>
      </c>
      <c r="E550" s="38">
        <f>IF((ROW()-3)&lt;=('首頁'!$B$8*12),G550-D550,"")</f>
      </c>
      <c r="G550" s="39">
        <f>IF((ROW()-3)&lt;=('首頁'!$B$8*12),E549,"")</f>
      </c>
    </row>
    <row r="551" ht="22" customHeight="1" spans="1:7" x14ac:dyDescent="0.25">
      <c r="A551" s="40">
        <f>IF((ROW()-3)&lt;=('首頁'!$B$8*12),ROW()-3,"")</f>
      </c>
      <c r="B551" s="41">
        <f>IF((ROW()-3)&lt;=('首頁'!$B$8*12),C551+D551,"")</f>
      </c>
      <c r="C551" s="42">
        <f>IF((ROW()-3)&lt;=('首頁'!$B$8*12),G551*'首頁'!$B$7/12/100,"")</f>
      </c>
      <c r="D551" s="42">
        <f>IF((ROW()-3)&lt;=('首頁'!$B$8*12),IF(ROW()-3=('首頁'!$B$8*12),G551,MIN(G551,'首頁'!$B$6/('首頁'!$B$8*12))),"")</f>
      </c>
      <c r="E551" s="42">
        <f>IF((ROW()-3)&lt;=('首頁'!$B$8*12),G551-D551,"")</f>
      </c>
      <c r="G551" s="39">
        <f>IF((ROW()-3)&lt;=('首頁'!$B$8*12),E550,"")</f>
      </c>
    </row>
    <row r="552" ht="22" customHeight="1" spans="1:7" x14ac:dyDescent="0.25">
      <c r="A552" s="36">
        <f>IF((ROW()-3)&lt;=('首頁'!$B$8*12),ROW()-3,"")</f>
      </c>
      <c r="B552" s="37">
        <f>IF((ROW()-3)&lt;=('首頁'!$B$8*12),C552+D552,"")</f>
      </c>
      <c r="C552" s="38">
        <f>IF((ROW()-3)&lt;=('首頁'!$B$8*12),G552*'首頁'!$B$7/12/100,"")</f>
      </c>
      <c r="D552" s="38">
        <f>IF((ROW()-3)&lt;=('首頁'!$B$8*12),IF(ROW()-3=('首頁'!$B$8*12),G552,MIN(G552,'首頁'!$B$6/('首頁'!$B$8*12))),"")</f>
      </c>
      <c r="E552" s="38">
        <f>IF((ROW()-3)&lt;=('首頁'!$B$8*12),G552-D552,"")</f>
      </c>
      <c r="G552" s="39">
        <f>IF((ROW()-3)&lt;=('首頁'!$B$8*12),E551,"")</f>
      </c>
    </row>
    <row r="553" ht="22" customHeight="1" spans="1:7" x14ac:dyDescent="0.25">
      <c r="A553" s="40">
        <f>IF((ROW()-3)&lt;=('首頁'!$B$8*12),ROW()-3,"")</f>
      </c>
      <c r="B553" s="41">
        <f>IF((ROW()-3)&lt;=('首頁'!$B$8*12),C553+D553,"")</f>
      </c>
      <c r="C553" s="42">
        <f>IF((ROW()-3)&lt;=('首頁'!$B$8*12),G553*'首頁'!$B$7/12/100,"")</f>
      </c>
      <c r="D553" s="42">
        <f>IF((ROW()-3)&lt;=('首頁'!$B$8*12),IF(ROW()-3=('首頁'!$B$8*12),G553,MIN(G553,'首頁'!$B$6/('首頁'!$B$8*12))),"")</f>
      </c>
      <c r="E553" s="42">
        <f>IF((ROW()-3)&lt;=('首頁'!$B$8*12),G553-D553,"")</f>
      </c>
      <c r="G553" s="39">
        <f>IF((ROW()-3)&lt;=('首頁'!$B$8*12),E552,"")</f>
      </c>
    </row>
    <row r="554" ht="22" customHeight="1" spans="1:7" x14ac:dyDescent="0.25">
      <c r="A554" s="36">
        <f>IF((ROW()-3)&lt;=('首頁'!$B$8*12),ROW()-3,"")</f>
      </c>
      <c r="B554" s="37">
        <f>IF((ROW()-3)&lt;=('首頁'!$B$8*12),C554+D554,"")</f>
      </c>
      <c r="C554" s="38">
        <f>IF((ROW()-3)&lt;=('首頁'!$B$8*12),G554*'首頁'!$B$7/12/100,"")</f>
      </c>
      <c r="D554" s="38">
        <f>IF((ROW()-3)&lt;=('首頁'!$B$8*12),IF(ROW()-3=('首頁'!$B$8*12),G554,MIN(G554,'首頁'!$B$6/('首頁'!$B$8*12))),"")</f>
      </c>
      <c r="E554" s="38">
        <f>IF((ROW()-3)&lt;=('首頁'!$B$8*12),G554-D554,"")</f>
      </c>
      <c r="G554" s="39">
        <f>IF((ROW()-3)&lt;=('首頁'!$B$8*12),E553,"")</f>
      </c>
    </row>
    <row r="555" ht="22" customHeight="1" spans="1:7" x14ac:dyDescent="0.25">
      <c r="A555" s="40">
        <f>IF((ROW()-3)&lt;=('首頁'!$B$8*12),ROW()-3,"")</f>
      </c>
      <c r="B555" s="41">
        <f>IF((ROW()-3)&lt;=('首頁'!$B$8*12),C555+D555,"")</f>
      </c>
      <c r="C555" s="42">
        <f>IF((ROW()-3)&lt;=('首頁'!$B$8*12),G555*'首頁'!$B$7/12/100,"")</f>
      </c>
      <c r="D555" s="42">
        <f>IF((ROW()-3)&lt;=('首頁'!$B$8*12),IF(ROW()-3=('首頁'!$B$8*12),G555,MIN(G555,'首頁'!$B$6/('首頁'!$B$8*12))),"")</f>
      </c>
      <c r="E555" s="42">
        <f>IF((ROW()-3)&lt;=('首頁'!$B$8*12),G555-D555,"")</f>
      </c>
      <c r="G555" s="39">
        <f>IF((ROW()-3)&lt;=('首頁'!$B$8*12),E554,"")</f>
      </c>
    </row>
    <row r="556" ht="22" customHeight="1" spans="1:7" x14ac:dyDescent="0.25">
      <c r="A556" s="36">
        <f>IF((ROW()-3)&lt;=('首頁'!$B$8*12),ROW()-3,"")</f>
      </c>
      <c r="B556" s="37">
        <f>IF((ROW()-3)&lt;=('首頁'!$B$8*12),C556+D556,"")</f>
      </c>
      <c r="C556" s="38">
        <f>IF((ROW()-3)&lt;=('首頁'!$B$8*12),G556*'首頁'!$B$7/12/100,"")</f>
      </c>
      <c r="D556" s="38">
        <f>IF((ROW()-3)&lt;=('首頁'!$B$8*12),IF(ROW()-3=('首頁'!$B$8*12),G556,MIN(G556,'首頁'!$B$6/('首頁'!$B$8*12))),"")</f>
      </c>
      <c r="E556" s="38">
        <f>IF((ROW()-3)&lt;=('首頁'!$B$8*12),G556-D556,"")</f>
      </c>
      <c r="G556" s="39">
        <f>IF((ROW()-3)&lt;=('首頁'!$B$8*12),E555,"")</f>
      </c>
    </row>
    <row r="557" ht="22" customHeight="1" spans="1:7" x14ac:dyDescent="0.25">
      <c r="A557" s="40">
        <f>IF((ROW()-3)&lt;=('首頁'!$B$8*12),ROW()-3,"")</f>
      </c>
      <c r="B557" s="41">
        <f>IF((ROW()-3)&lt;=('首頁'!$B$8*12),C557+D557,"")</f>
      </c>
      <c r="C557" s="42">
        <f>IF((ROW()-3)&lt;=('首頁'!$B$8*12),G557*'首頁'!$B$7/12/100,"")</f>
      </c>
      <c r="D557" s="42">
        <f>IF((ROW()-3)&lt;=('首頁'!$B$8*12),IF(ROW()-3=('首頁'!$B$8*12),G557,MIN(G557,'首頁'!$B$6/('首頁'!$B$8*12))),"")</f>
      </c>
      <c r="E557" s="42">
        <f>IF((ROW()-3)&lt;=('首頁'!$B$8*12),G557-D557,"")</f>
      </c>
      <c r="G557" s="39">
        <f>IF((ROW()-3)&lt;=('首頁'!$B$8*12),E556,"")</f>
      </c>
    </row>
    <row r="558" ht="22" customHeight="1" spans="1:7" x14ac:dyDescent="0.25">
      <c r="A558" s="36">
        <f>IF((ROW()-3)&lt;=('首頁'!$B$8*12),ROW()-3,"")</f>
      </c>
      <c r="B558" s="37">
        <f>IF((ROW()-3)&lt;=('首頁'!$B$8*12),C558+D558,"")</f>
      </c>
      <c r="C558" s="38">
        <f>IF((ROW()-3)&lt;=('首頁'!$B$8*12),G558*'首頁'!$B$7/12/100,"")</f>
      </c>
      <c r="D558" s="38">
        <f>IF((ROW()-3)&lt;=('首頁'!$B$8*12),IF(ROW()-3=('首頁'!$B$8*12),G558,MIN(G558,'首頁'!$B$6/('首頁'!$B$8*12))),"")</f>
      </c>
      <c r="E558" s="38">
        <f>IF((ROW()-3)&lt;=('首頁'!$B$8*12),G558-D558,"")</f>
      </c>
      <c r="G558" s="39">
        <f>IF((ROW()-3)&lt;=('首頁'!$B$8*12),E557,"")</f>
      </c>
    </row>
    <row r="559" ht="22" customHeight="1" spans="1:7" x14ac:dyDescent="0.25">
      <c r="A559" s="40">
        <f>IF((ROW()-3)&lt;=('首頁'!$B$8*12),ROW()-3,"")</f>
      </c>
      <c r="B559" s="41">
        <f>IF((ROW()-3)&lt;=('首頁'!$B$8*12),C559+D559,"")</f>
      </c>
      <c r="C559" s="42">
        <f>IF((ROW()-3)&lt;=('首頁'!$B$8*12),G559*'首頁'!$B$7/12/100,"")</f>
      </c>
      <c r="D559" s="42">
        <f>IF((ROW()-3)&lt;=('首頁'!$B$8*12),IF(ROW()-3=('首頁'!$B$8*12),G559,MIN(G559,'首頁'!$B$6/('首頁'!$B$8*12))),"")</f>
      </c>
      <c r="E559" s="42">
        <f>IF((ROW()-3)&lt;=('首頁'!$B$8*12),G559-D559,"")</f>
      </c>
      <c r="G559" s="39">
        <f>IF((ROW()-3)&lt;=('首頁'!$B$8*12),E558,"")</f>
      </c>
    </row>
    <row r="560" ht="22" customHeight="1" spans="1:7" x14ac:dyDescent="0.25">
      <c r="A560" s="36">
        <f>IF((ROW()-3)&lt;=('首頁'!$B$8*12),ROW()-3,"")</f>
      </c>
      <c r="B560" s="37">
        <f>IF((ROW()-3)&lt;=('首頁'!$B$8*12),C560+D560,"")</f>
      </c>
      <c r="C560" s="38">
        <f>IF((ROW()-3)&lt;=('首頁'!$B$8*12),G560*'首頁'!$B$7/12/100,"")</f>
      </c>
      <c r="D560" s="38">
        <f>IF((ROW()-3)&lt;=('首頁'!$B$8*12),IF(ROW()-3=('首頁'!$B$8*12),G560,MIN(G560,'首頁'!$B$6/('首頁'!$B$8*12))),"")</f>
      </c>
      <c r="E560" s="38">
        <f>IF((ROW()-3)&lt;=('首頁'!$B$8*12),G560-D560,"")</f>
      </c>
      <c r="G560" s="39">
        <f>IF((ROW()-3)&lt;=('首頁'!$B$8*12),E559,"")</f>
      </c>
    </row>
    <row r="561" ht="22" customHeight="1" spans="1:7" x14ac:dyDescent="0.25">
      <c r="A561" s="40">
        <f>IF((ROW()-3)&lt;=('首頁'!$B$8*12),ROW()-3,"")</f>
      </c>
      <c r="B561" s="41">
        <f>IF((ROW()-3)&lt;=('首頁'!$B$8*12),C561+D561,"")</f>
      </c>
      <c r="C561" s="42">
        <f>IF((ROW()-3)&lt;=('首頁'!$B$8*12),G561*'首頁'!$B$7/12/100,"")</f>
      </c>
      <c r="D561" s="42">
        <f>IF((ROW()-3)&lt;=('首頁'!$B$8*12),IF(ROW()-3=('首頁'!$B$8*12),G561,MIN(G561,'首頁'!$B$6/('首頁'!$B$8*12))),"")</f>
      </c>
      <c r="E561" s="42">
        <f>IF((ROW()-3)&lt;=('首頁'!$B$8*12),G561-D561,"")</f>
      </c>
      <c r="G561" s="39">
        <f>IF((ROW()-3)&lt;=('首頁'!$B$8*12),E560,"")</f>
      </c>
    </row>
    <row r="562" ht="22" customHeight="1" spans="1:7" x14ac:dyDescent="0.25">
      <c r="A562" s="36">
        <f>IF((ROW()-3)&lt;=('首頁'!$B$8*12),ROW()-3,"")</f>
      </c>
      <c r="B562" s="37">
        <f>IF((ROW()-3)&lt;=('首頁'!$B$8*12),C562+D562,"")</f>
      </c>
      <c r="C562" s="38">
        <f>IF((ROW()-3)&lt;=('首頁'!$B$8*12),G562*'首頁'!$B$7/12/100,"")</f>
      </c>
      <c r="D562" s="38">
        <f>IF((ROW()-3)&lt;=('首頁'!$B$8*12),IF(ROW()-3=('首頁'!$B$8*12),G562,MIN(G562,'首頁'!$B$6/('首頁'!$B$8*12))),"")</f>
      </c>
      <c r="E562" s="38">
        <f>IF((ROW()-3)&lt;=('首頁'!$B$8*12),G562-D562,"")</f>
      </c>
      <c r="G562" s="39">
        <f>IF((ROW()-3)&lt;=('首頁'!$B$8*12),E561,"")</f>
      </c>
    </row>
    <row r="563" ht="22" customHeight="1" spans="1:7" x14ac:dyDescent="0.25">
      <c r="A563" s="40">
        <f>IF((ROW()-3)&lt;=('首頁'!$B$8*12),ROW()-3,"")</f>
      </c>
      <c r="B563" s="41">
        <f>IF((ROW()-3)&lt;=('首頁'!$B$8*12),C563+D563,"")</f>
      </c>
      <c r="C563" s="42">
        <f>IF((ROW()-3)&lt;=('首頁'!$B$8*12),G563*'首頁'!$B$7/12/100,"")</f>
      </c>
      <c r="D563" s="42">
        <f>IF((ROW()-3)&lt;=('首頁'!$B$8*12),IF(ROW()-3=('首頁'!$B$8*12),G563,MIN(G563,'首頁'!$B$6/('首頁'!$B$8*12))),"")</f>
      </c>
      <c r="E563" s="42">
        <f>IF((ROW()-3)&lt;=('首頁'!$B$8*12),G563-D563,"")</f>
      </c>
      <c r="G563" s="39">
        <f>IF((ROW()-3)&lt;=('首頁'!$B$8*12),E562,"")</f>
      </c>
    </row>
    <row r="564" ht="22" customHeight="1" spans="1:7" x14ac:dyDescent="0.25">
      <c r="A564" s="36">
        <f>IF((ROW()-3)&lt;=('首頁'!$B$8*12),ROW()-3,"")</f>
      </c>
      <c r="B564" s="37">
        <f>IF((ROW()-3)&lt;=('首頁'!$B$8*12),C564+D564,"")</f>
      </c>
      <c r="C564" s="38">
        <f>IF((ROW()-3)&lt;=('首頁'!$B$8*12),G564*'首頁'!$B$7/12/100,"")</f>
      </c>
      <c r="D564" s="38">
        <f>IF((ROW()-3)&lt;=('首頁'!$B$8*12),IF(ROW()-3=('首頁'!$B$8*12),G564,MIN(G564,'首頁'!$B$6/('首頁'!$B$8*12))),"")</f>
      </c>
      <c r="E564" s="38">
        <f>IF((ROW()-3)&lt;=('首頁'!$B$8*12),G564-D564,"")</f>
      </c>
      <c r="G564" s="39">
        <f>IF((ROW()-3)&lt;=('首頁'!$B$8*12),E563,"")</f>
      </c>
    </row>
    <row r="565" ht="22" customHeight="1" spans="1:7" x14ac:dyDescent="0.25">
      <c r="A565" s="40">
        <f>IF((ROW()-3)&lt;=('首頁'!$B$8*12),ROW()-3,"")</f>
      </c>
      <c r="B565" s="41">
        <f>IF((ROW()-3)&lt;=('首頁'!$B$8*12),C565+D565,"")</f>
      </c>
      <c r="C565" s="42">
        <f>IF((ROW()-3)&lt;=('首頁'!$B$8*12),G565*'首頁'!$B$7/12/100,"")</f>
      </c>
      <c r="D565" s="42">
        <f>IF((ROW()-3)&lt;=('首頁'!$B$8*12),IF(ROW()-3=('首頁'!$B$8*12),G565,MIN(G565,'首頁'!$B$6/('首頁'!$B$8*12))),"")</f>
      </c>
      <c r="E565" s="42">
        <f>IF((ROW()-3)&lt;=('首頁'!$B$8*12),G565-D565,"")</f>
      </c>
      <c r="G565" s="39">
        <f>IF((ROW()-3)&lt;=('首頁'!$B$8*12),E564,"")</f>
      </c>
    </row>
    <row r="566" ht="22" customHeight="1" spans="1:7" x14ac:dyDescent="0.25">
      <c r="A566" s="36">
        <f>IF((ROW()-3)&lt;=('首頁'!$B$8*12),ROW()-3,"")</f>
      </c>
      <c r="B566" s="37">
        <f>IF((ROW()-3)&lt;=('首頁'!$B$8*12),C566+D566,"")</f>
      </c>
      <c r="C566" s="38">
        <f>IF((ROW()-3)&lt;=('首頁'!$B$8*12),G566*'首頁'!$B$7/12/100,"")</f>
      </c>
      <c r="D566" s="38">
        <f>IF((ROW()-3)&lt;=('首頁'!$B$8*12),IF(ROW()-3=('首頁'!$B$8*12),G566,MIN(G566,'首頁'!$B$6/('首頁'!$B$8*12))),"")</f>
      </c>
      <c r="E566" s="38">
        <f>IF((ROW()-3)&lt;=('首頁'!$B$8*12),G566-D566,"")</f>
      </c>
      <c r="G566" s="39">
        <f>IF((ROW()-3)&lt;=('首頁'!$B$8*12),E565,"")</f>
      </c>
    </row>
    <row r="567" ht="22" customHeight="1" spans="1:7" x14ac:dyDescent="0.25">
      <c r="A567" s="40">
        <f>IF((ROW()-3)&lt;=('首頁'!$B$8*12),ROW()-3,"")</f>
      </c>
      <c r="B567" s="41">
        <f>IF((ROW()-3)&lt;=('首頁'!$B$8*12),C567+D567,"")</f>
      </c>
      <c r="C567" s="42">
        <f>IF((ROW()-3)&lt;=('首頁'!$B$8*12),G567*'首頁'!$B$7/12/100,"")</f>
      </c>
      <c r="D567" s="42">
        <f>IF((ROW()-3)&lt;=('首頁'!$B$8*12),IF(ROW()-3=('首頁'!$B$8*12),G567,MIN(G567,'首頁'!$B$6/('首頁'!$B$8*12))),"")</f>
      </c>
      <c r="E567" s="42">
        <f>IF((ROW()-3)&lt;=('首頁'!$B$8*12),G567-D567,"")</f>
      </c>
      <c r="G567" s="39">
        <f>IF((ROW()-3)&lt;=('首頁'!$B$8*12),E566,"")</f>
      </c>
    </row>
    <row r="568" ht="22" customHeight="1" spans="1:7" x14ac:dyDescent="0.25">
      <c r="A568" s="36">
        <f>IF((ROW()-3)&lt;=('首頁'!$B$8*12),ROW()-3,"")</f>
      </c>
      <c r="B568" s="37">
        <f>IF((ROW()-3)&lt;=('首頁'!$B$8*12),C568+D568,"")</f>
      </c>
      <c r="C568" s="38">
        <f>IF((ROW()-3)&lt;=('首頁'!$B$8*12),G568*'首頁'!$B$7/12/100,"")</f>
      </c>
      <c r="D568" s="38">
        <f>IF((ROW()-3)&lt;=('首頁'!$B$8*12),IF(ROW()-3=('首頁'!$B$8*12),G568,MIN(G568,'首頁'!$B$6/('首頁'!$B$8*12))),"")</f>
      </c>
      <c r="E568" s="38">
        <f>IF((ROW()-3)&lt;=('首頁'!$B$8*12),G568-D568,"")</f>
      </c>
      <c r="G568" s="39">
        <f>IF((ROW()-3)&lt;=('首頁'!$B$8*12),E567,"")</f>
      </c>
    </row>
    <row r="569" ht="22" customHeight="1" spans="1:7" x14ac:dyDescent="0.25">
      <c r="A569" s="40">
        <f>IF((ROW()-3)&lt;=('首頁'!$B$8*12),ROW()-3,"")</f>
      </c>
      <c r="B569" s="41">
        <f>IF((ROW()-3)&lt;=('首頁'!$B$8*12),C569+D569,"")</f>
      </c>
      <c r="C569" s="42">
        <f>IF((ROW()-3)&lt;=('首頁'!$B$8*12),G569*'首頁'!$B$7/12/100,"")</f>
      </c>
      <c r="D569" s="42">
        <f>IF((ROW()-3)&lt;=('首頁'!$B$8*12),IF(ROW()-3=('首頁'!$B$8*12),G569,MIN(G569,'首頁'!$B$6/('首頁'!$B$8*12))),"")</f>
      </c>
      <c r="E569" s="42">
        <f>IF((ROW()-3)&lt;=('首頁'!$B$8*12),G569-D569,"")</f>
      </c>
      <c r="G569" s="39">
        <f>IF((ROW()-3)&lt;=('首頁'!$B$8*12),E568,"")</f>
      </c>
    </row>
    <row r="570" ht="22" customHeight="1" spans="1:7" x14ac:dyDescent="0.25">
      <c r="A570" s="36">
        <f>IF((ROW()-3)&lt;=('首頁'!$B$8*12),ROW()-3,"")</f>
      </c>
      <c r="B570" s="37">
        <f>IF((ROW()-3)&lt;=('首頁'!$B$8*12),C570+D570,"")</f>
      </c>
      <c r="C570" s="38">
        <f>IF((ROW()-3)&lt;=('首頁'!$B$8*12),G570*'首頁'!$B$7/12/100,"")</f>
      </c>
      <c r="D570" s="38">
        <f>IF((ROW()-3)&lt;=('首頁'!$B$8*12),IF(ROW()-3=('首頁'!$B$8*12),G570,MIN(G570,'首頁'!$B$6/('首頁'!$B$8*12))),"")</f>
      </c>
      <c r="E570" s="38">
        <f>IF((ROW()-3)&lt;=('首頁'!$B$8*12),G570-D570,"")</f>
      </c>
      <c r="G570" s="39">
        <f>IF((ROW()-3)&lt;=('首頁'!$B$8*12),E569,"")</f>
      </c>
    </row>
    <row r="571" ht="22" customHeight="1" spans="1:7" x14ac:dyDescent="0.25">
      <c r="A571" s="40">
        <f>IF((ROW()-3)&lt;=('首頁'!$B$8*12),ROW()-3,"")</f>
      </c>
      <c r="B571" s="41">
        <f>IF((ROW()-3)&lt;=('首頁'!$B$8*12),C571+D571,"")</f>
      </c>
      <c r="C571" s="42">
        <f>IF((ROW()-3)&lt;=('首頁'!$B$8*12),G571*'首頁'!$B$7/12/100,"")</f>
      </c>
      <c r="D571" s="42">
        <f>IF((ROW()-3)&lt;=('首頁'!$B$8*12),IF(ROW()-3=('首頁'!$B$8*12),G571,MIN(G571,'首頁'!$B$6/('首頁'!$B$8*12))),"")</f>
      </c>
      <c r="E571" s="42">
        <f>IF((ROW()-3)&lt;=('首頁'!$B$8*12),G571-D571,"")</f>
      </c>
      <c r="G571" s="39">
        <f>IF((ROW()-3)&lt;=('首頁'!$B$8*12),E570,"")</f>
      </c>
    </row>
    <row r="572" ht="22" customHeight="1" spans="1:7" x14ac:dyDescent="0.25">
      <c r="A572" s="36">
        <f>IF((ROW()-3)&lt;=('首頁'!$B$8*12),ROW()-3,"")</f>
      </c>
      <c r="B572" s="37">
        <f>IF((ROW()-3)&lt;=('首頁'!$B$8*12),C572+D572,"")</f>
      </c>
      <c r="C572" s="38">
        <f>IF((ROW()-3)&lt;=('首頁'!$B$8*12),G572*'首頁'!$B$7/12/100,"")</f>
      </c>
      <c r="D572" s="38">
        <f>IF((ROW()-3)&lt;=('首頁'!$B$8*12),IF(ROW()-3=('首頁'!$B$8*12),G572,MIN(G572,'首頁'!$B$6/('首頁'!$B$8*12))),"")</f>
      </c>
      <c r="E572" s="38">
        <f>IF((ROW()-3)&lt;=('首頁'!$B$8*12),G572-D572,"")</f>
      </c>
      <c r="G572" s="39">
        <f>IF((ROW()-3)&lt;=('首頁'!$B$8*12),E571,"")</f>
      </c>
    </row>
    <row r="573" ht="22" customHeight="1" spans="1:7" x14ac:dyDescent="0.25">
      <c r="A573" s="40">
        <f>IF((ROW()-3)&lt;=('首頁'!$B$8*12),ROW()-3,"")</f>
      </c>
      <c r="B573" s="41">
        <f>IF((ROW()-3)&lt;=('首頁'!$B$8*12),C573+D573,"")</f>
      </c>
      <c r="C573" s="42">
        <f>IF((ROW()-3)&lt;=('首頁'!$B$8*12),G573*'首頁'!$B$7/12/100,"")</f>
      </c>
      <c r="D573" s="42">
        <f>IF((ROW()-3)&lt;=('首頁'!$B$8*12),IF(ROW()-3=('首頁'!$B$8*12),G573,MIN(G573,'首頁'!$B$6/('首頁'!$B$8*12))),"")</f>
      </c>
      <c r="E573" s="42">
        <f>IF((ROW()-3)&lt;=('首頁'!$B$8*12),G573-D573,"")</f>
      </c>
      <c r="G573" s="39">
        <f>IF((ROW()-3)&lt;=('首頁'!$B$8*12),E572,"")</f>
      </c>
    </row>
    <row r="574" ht="22" customHeight="1" spans="1:7" x14ac:dyDescent="0.25">
      <c r="A574" s="36">
        <f>IF((ROW()-3)&lt;=('首頁'!$B$8*12),ROW()-3,"")</f>
      </c>
      <c r="B574" s="37">
        <f>IF((ROW()-3)&lt;=('首頁'!$B$8*12),C574+D574,"")</f>
      </c>
      <c r="C574" s="38">
        <f>IF((ROW()-3)&lt;=('首頁'!$B$8*12),G574*'首頁'!$B$7/12/100,"")</f>
      </c>
      <c r="D574" s="38">
        <f>IF((ROW()-3)&lt;=('首頁'!$B$8*12),IF(ROW()-3=('首頁'!$B$8*12),G574,MIN(G574,'首頁'!$B$6/('首頁'!$B$8*12))),"")</f>
      </c>
      <c r="E574" s="38">
        <f>IF((ROW()-3)&lt;=('首頁'!$B$8*12),G574-D574,"")</f>
      </c>
      <c r="G574" s="39">
        <f>IF((ROW()-3)&lt;=('首頁'!$B$8*12),E573,"")</f>
      </c>
    </row>
    <row r="575" ht="22" customHeight="1" spans="1:7" x14ac:dyDescent="0.25">
      <c r="A575" s="40">
        <f>IF((ROW()-3)&lt;=('首頁'!$B$8*12),ROW()-3,"")</f>
      </c>
      <c r="B575" s="41">
        <f>IF((ROW()-3)&lt;=('首頁'!$B$8*12),C575+D575,"")</f>
      </c>
      <c r="C575" s="42">
        <f>IF((ROW()-3)&lt;=('首頁'!$B$8*12),G575*'首頁'!$B$7/12/100,"")</f>
      </c>
      <c r="D575" s="42">
        <f>IF((ROW()-3)&lt;=('首頁'!$B$8*12),IF(ROW()-3=('首頁'!$B$8*12),G575,MIN(G575,'首頁'!$B$6/('首頁'!$B$8*12))),"")</f>
      </c>
      <c r="E575" s="42">
        <f>IF((ROW()-3)&lt;=('首頁'!$B$8*12),G575-D575,"")</f>
      </c>
      <c r="G575" s="39">
        <f>IF((ROW()-3)&lt;=('首頁'!$B$8*12),E574,"")</f>
      </c>
    </row>
    <row r="576" ht="22" customHeight="1" spans="1:7" x14ac:dyDescent="0.25">
      <c r="A576" s="36">
        <f>IF((ROW()-3)&lt;=('首頁'!$B$8*12),ROW()-3,"")</f>
      </c>
      <c r="B576" s="37">
        <f>IF((ROW()-3)&lt;=('首頁'!$B$8*12),C576+D576,"")</f>
      </c>
      <c r="C576" s="38">
        <f>IF((ROW()-3)&lt;=('首頁'!$B$8*12),G576*'首頁'!$B$7/12/100,"")</f>
      </c>
      <c r="D576" s="38">
        <f>IF((ROW()-3)&lt;=('首頁'!$B$8*12),IF(ROW()-3=('首頁'!$B$8*12),G576,MIN(G576,'首頁'!$B$6/('首頁'!$B$8*12))),"")</f>
      </c>
      <c r="E576" s="38">
        <f>IF((ROW()-3)&lt;=('首頁'!$B$8*12),G576-D576,"")</f>
      </c>
      <c r="G576" s="39">
        <f>IF((ROW()-3)&lt;=('首頁'!$B$8*12),E575,"")</f>
      </c>
    </row>
    <row r="577" ht="22" customHeight="1" spans="1:7" x14ac:dyDescent="0.25">
      <c r="A577" s="40">
        <f>IF((ROW()-3)&lt;=('首頁'!$B$8*12),ROW()-3,"")</f>
      </c>
      <c r="B577" s="41">
        <f>IF((ROW()-3)&lt;=('首頁'!$B$8*12),C577+D577,"")</f>
      </c>
      <c r="C577" s="42">
        <f>IF((ROW()-3)&lt;=('首頁'!$B$8*12),G577*'首頁'!$B$7/12/100,"")</f>
      </c>
      <c r="D577" s="42">
        <f>IF((ROW()-3)&lt;=('首頁'!$B$8*12),IF(ROW()-3=('首頁'!$B$8*12),G577,MIN(G577,'首頁'!$B$6/('首頁'!$B$8*12))),"")</f>
      </c>
      <c r="E577" s="42">
        <f>IF((ROW()-3)&lt;=('首頁'!$B$8*12),G577-D577,"")</f>
      </c>
      <c r="G577" s="39">
        <f>IF((ROW()-3)&lt;=('首頁'!$B$8*12),E576,"")</f>
      </c>
    </row>
    <row r="578" ht="22" customHeight="1" spans="1:7" x14ac:dyDescent="0.25">
      <c r="A578" s="36">
        <f>IF((ROW()-3)&lt;=('首頁'!$B$8*12),ROW()-3,"")</f>
      </c>
      <c r="B578" s="37">
        <f>IF((ROW()-3)&lt;=('首頁'!$B$8*12),C578+D578,"")</f>
      </c>
      <c r="C578" s="38">
        <f>IF((ROW()-3)&lt;=('首頁'!$B$8*12),G578*'首頁'!$B$7/12/100,"")</f>
      </c>
      <c r="D578" s="38">
        <f>IF((ROW()-3)&lt;=('首頁'!$B$8*12),IF(ROW()-3=('首頁'!$B$8*12),G578,MIN(G578,'首頁'!$B$6/('首頁'!$B$8*12))),"")</f>
      </c>
      <c r="E578" s="38">
        <f>IF((ROW()-3)&lt;=('首頁'!$B$8*12),G578-D578,"")</f>
      </c>
      <c r="G578" s="39">
        <f>IF((ROW()-3)&lt;=('首頁'!$B$8*12),E577,"")</f>
      </c>
    </row>
    <row r="579" ht="22" customHeight="1" spans="1:7" x14ac:dyDescent="0.25">
      <c r="A579" s="40">
        <f>IF((ROW()-3)&lt;=('首頁'!$B$8*12),ROW()-3,"")</f>
      </c>
      <c r="B579" s="41">
        <f>IF((ROW()-3)&lt;=('首頁'!$B$8*12),C579+D579,"")</f>
      </c>
      <c r="C579" s="42">
        <f>IF((ROW()-3)&lt;=('首頁'!$B$8*12),G579*'首頁'!$B$7/12/100,"")</f>
      </c>
      <c r="D579" s="42">
        <f>IF((ROW()-3)&lt;=('首頁'!$B$8*12),IF(ROW()-3=('首頁'!$B$8*12),G579,MIN(G579,'首頁'!$B$6/('首頁'!$B$8*12))),"")</f>
      </c>
      <c r="E579" s="42">
        <f>IF((ROW()-3)&lt;=('首頁'!$B$8*12),G579-D579,"")</f>
      </c>
      <c r="G579" s="39">
        <f>IF((ROW()-3)&lt;=('首頁'!$B$8*12),E578,"")</f>
      </c>
    </row>
    <row r="580" ht="22" customHeight="1" spans="1:7" x14ac:dyDescent="0.25">
      <c r="A580" s="36">
        <f>IF((ROW()-3)&lt;=('首頁'!$B$8*12),ROW()-3,"")</f>
      </c>
      <c r="B580" s="37">
        <f>IF((ROW()-3)&lt;=('首頁'!$B$8*12),C580+D580,"")</f>
      </c>
      <c r="C580" s="38">
        <f>IF((ROW()-3)&lt;=('首頁'!$B$8*12),G580*'首頁'!$B$7/12/100,"")</f>
      </c>
      <c r="D580" s="38">
        <f>IF((ROW()-3)&lt;=('首頁'!$B$8*12),IF(ROW()-3=('首頁'!$B$8*12),G580,MIN(G580,'首頁'!$B$6/('首頁'!$B$8*12))),"")</f>
      </c>
      <c r="E580" s="38">
        <f>IF((ROW()-3)&lt;=('首頁'!$B$8*12),G580-D580,"")</f>
      </c>
      <c r="G580" s="39">
        <f>IF((ROW()-3)&lt;=('首頁'!$B$8*12),E579,"")</f>
      </c>
    </row>
    <row r="581" ht="22" customHeight="1" spans="1:7" x14ac:dyDescent="0.25">
      <c r="A581" s="40">
        <f>IF((ROW()-3)&lt;=('首頁'!$B$8*12),ROW()-3,"")</f>
      </c>
      <c r="B581" s="41">
        <f>IF((ROW()-3)&lt;=('首頁'!$B$8*12),C581+D581,"")</f>
      </c>
      <c r="C581" s="42">
        <f>IF((ROW()-3)&lt;=('首頁'!$B$8*12),G581*'首頁'!$B$7/12/100,"")</f>
      </c>
      <c r="D581" s="42">
        <f>IF((ROW()-3)&lt;=('首頁'!$B$8*12),IF(ROW()-3=('首頁'!$B$8*12),G581,MIN(G581,'首頁'!$B$6/('首頁'!$B$8*12))),"")</f>
      </c>
      <c r="E581" s="42">
        <f>IF((ROW()-3)&lt;=('首頁'!$B$8*12),G581-D581,"")</f>
      </c>
      <c r="G581" s="39">
        <f>IF((ROW()-3)&lt;=('首頁'!$B$8*12),E580,"")</f>
      </c>
    </row>
    <row r="582" ht="22" customHeight="1" spans="1:7" x14ac:dyDescent="0.25">
      <c r="A582" s="36">
        <f>IF((ROW()-3)&lt;=('首頁'!$B$8*12),ROW()-3,"")</f>
      </c>
      <c r="B582" s="37">
        <f>IF((ROW()-3)&lt;=('首頁'!$B$8*12),C582+D582,"")</f>
      </c>
      <c r="C582" s="38">
        <f>IF((ROW()-3)&lt;=('首頁'!$B$8*12),G582*'首頁'!$B$7/12/100,"")</f>
      </c>
      <c r="D582" s="38">
        <f>IF((ROW()-3)&lt;=('首頁'!$B$8*12),IF(ROW()-3=('首頁'!$B$8*12),G582,MIN(G582,'首頁'!$B$6/('首頁'!$B$8*12))),"")</f>
      </c>
      <c r="E582" s="38">
        <f>IF((ROW()-3)&lt;=('首頁'!$B$8*12),G582-D582,"")</f>
      </c>
      <c r="G582" s="39">
        <f>IF((ROW()-3)&lt;=('首頁'!$B$8*12),E581,"")</f>
      </c>
    </row>
    <row r="583" ht="22" customHeight="1" spans="1:7" x14ac:dyDescent="0.25">
      <c r="A583" s="40">
        <f>IF((ROW()-3)&lt;=('首頁'!$B$8*12),ROW()-3,"")</f>
      </c>
      <c r="B583" s="41">
        <f>IF((ROW()-3)&lt;=('首頁'!$B$8*12),C583+D583,"")</f>
      </c>
      <c r="C583" s="42">
        <f>IF((ROW()-3)&lt;=('首頁'!$B$8*12),G583*'首頁'!$B$7/12/100,"")</f>
      </c>
      <c r="D583" s="42">
        <f>IF((ROW()-3)&lt;=('首頁'!$B$8*12),IF(ROW()-3=('首頁'!$B$8*12),G583,MIN(G583,'首頁'!$B$6/('首頁'!$B$8*12))),"")</f>
      </c>
      <c r="E583" s="42">
        <f>IF((ROW()-3)&lt;=('首頁'!$B$8*12),G583-D583,"")</f>
      </c>
      <c r="G583" s="39">
        <f>IF((ROW()-3)&lt;=('首頁'!$B$8*12),E582,"")</f>
      </c>
    </row>
    <row r="584" ht="22" customHeight="1" spans="1:7" x14ac:dyDescent="0.25">
      <c r="A584" s="36">
        <f>IF((ROW()-3)&lt;=('首頁'!$B$8*12),ROW()-3,"")</f>
      </c>
      <c r="B584" s="37">
        <f>IF((ROW()-3)&lt;=('首頁'!$B$8*12),C584+D584,"")</f>
      </c>
      <c r="C584" s="38">
        <f>IF((ROW()-3)&lt;=('首頁'!$B$8*12),G584*'首頁'!$B$7/12/100,"")</f>
      </c>
      <c r="D584" s="38">
        <f>IF((ROW()-3)&lt;=('首頁'!$B$8*12),IF(ROW()-3=('首頁'!$B$8*12),G584,MIN(G584,'首頁'!$B$6/('首頁'!$B$8*12))),"")</f>
      </c>
      <c r="E584" s="38">
        <f>IF((ROW()-3)&lt;=('首頁'!$B$8*12),G584-D584,"")</f>
      </c>
      <c r="G584" s="39">
        <f>IF((ROW()-3)&lt;=('首頁'!$B$8*12),E583,"")</f>
      </c>
    </row>
    <row r="585" ht="22" customHeight="1" spans="1:7" x14ac:dyDescent="0.25">
      <c r="A585" s="40">
        <f>IF((ROW()-3)&lt;=('首頁'!$B$8*12),ROW()-3,"")</f>
      </c>
      <c r="B585" s="41">
        <f>IF((ROW()-3)&lt;=('首頁'!$B$8*12),C585+D585,"")</f>
      </c>
      <c r="C585" s="42">
        <f>IF((ROW()-3)&lt;=('首頁'!$B$8*12),G585*'首頁'!$B$7/12/100,"")</f>
      </c>
      <c r="D585" s="42">
        <f>IF((ROW()-3)&lt;=('首頁'!$B$8*12),IF(ROW()-3=('首頁'!$B$8*12),G585,MIN(G585,'首頁'!$B$6/('首頁'!$B$8*12))),"")</f>
      </c>
      <c r="E585" s="42">
        <f>IF((ROW()-3)&lt;=('首頁'!$B$8*12),G585-D585,"")</f>
      </c>
      <c r="G585" s="39">
        <f>IF((ROW()-3)&lt;=('首頁'!$B$8*12),E584,"")</f>
      </c>
    </row>
    <row r="586" ht="22" customHeight="1" spans="1:7" x14ac:dyDescent="0.25">
      <c r="A586" s="36">
        <f>IF((ROW()-3)&lt;=('首頁'!$B$8*12),ROW()-3,"")</f>
      </c>
      <c r="B586" s="37">
        <f>IF((ROW()-3)&lt;=('首頁'!$B$8*12),C586+D586,"")</f>
      </c>
      <c r="C586" s="38">
        <f>IF((ROW()-3)&lt;=('首頁'!$B$8*12),G586*'首頁'!$B$7/12/100,"")</f>
      </c>
      <c r="D586" s="38">
        <f>IF((ROW()-3)&lt;=('首頁'!$B$8*12),IF(ROW()-3=('首頁'!$B$8*12),G586,MIN(G586,'首頁'!$B$6/('首頁'!$B$8*12))),"")</f>
      </c>
      <c r="E586" s="38">
        <f>IF((ROW()-3)&lt;=('首頁'!$B$8*12),G586-D586,"")</f>
      </c>
      <c r="G586" s="39">
        <f>IF((ROW()-3)&lt;=('首頁'!$B$8*12),E585,"")</f>
      </c>
    </row>
    <row r="587" ht="22" customHeight="1" spans="1:7" x14ac:dyDescent="0.25">
      <c r="A587" s="40">
        <f>IF((ROW()-3)&lt;=('首頁'!$B$8*12),ROW()-3,"")</f>
      </c>
      <c r="B587" s="41">
        <f>IF((ROW()-3)&lt;=('首頁'!$B$8*12),C587+D587,"")</f>
      </c>
      <c r="C587" s="42">
        <f>IF((ROW()-3)&lt;=('首頁'!$B$8*12),G587*'首頁'!$B$7/12/100,"")</f>
      </c>
      <c r="D587" s="42">
        <f>IF((ROW()-3)&lt;=('首頁'!$B$8*12),IF(ROW()-3=('首頁'!$B$8*12),G587,MIN(G587,'首頁'!$B$6/('首頁'!$B$8*12))),"")</f>
      </c>
      <c r="E587" s="42">
        <f>IF((ROW()-3)&lt;=('首頁'!$B$8*12),G587-D587,"")</f>
      </c>
      <c r="G587" s="39">
        <f>IF((ROW()-3)&lt;=('首頁'!$B$8*12),E586,"")</f>
      </c>
    </row>
    <row r="588" ht="22" customHeight="1" spans="1:7" x14ac:dyDescent="0.25">
      <c r="A588" s="36">
        <f>IF((ROW()-3)&lt;=('首頁'!$B$8*12),ROW()-3,"")</f>
      </c>
      <c r="B588" s="37">
        <f>IF((ROW()-3)&lt;=('首頁'!$B$8*12),C588+D588,"")</f>
      </c>
      <c r="C588" s="38">
        <f>IF((ROW()-3)&lt;=('首頁'!$B$8*12),G588*'首頁'!$B$7/12/100,"")</f>
      </c>
      <c r="D588" s="38">
        <f>IF((ROW()-3)&lt;=('首頁'!$B$8*12),IF(ROW()-3=('首頁'!$B$8*12),G588,MIN(G588,'首頁'!$B$6/('首頁'!$B$8*12))),"")</f>
      </c>
      <c r="E588" s="38">
        <f>IF((ROW()-3)&lt;=('首頁'!$B$8*12),G588-D588,"")</f>
      </c>
      <c r="G588" s="39">
        <f>IF((ROW()-3)&lt;=('首頁'!$B$8*12),E587,"")</f>
      </c>
    </row>
    <row r="589" ht="22" customHeight="1" spans="1:7" x14ac:dyDescent="0.25">
      <c r="A589" s="40">
        <f>IF((ROW()-3)&lt;=('首頁'!$B$8*12),ROW()-3,"")</f>
      </c>
      <c r="B589" s="41">
        <f>IF((ROW()-3)&lt;=('首頁'!$B$8*12),C589+D589,"")</f>
      </c>
      <c r="C589" s="42">
        <f>IF((ROW()-3)&lt;=('首頁'!$B$8*12),G589*'首頁'!$B$7/12/100,"")</f>
      </c>
      <c r="D589" s="42">
        <f>IF((ROW()-3)&lt;=('首頁'!$B$8*12),IF(ROW()-3=('首頁'!$B$8*12),G589,MIN(G589,'首頁'!$B$6/('首頁'!$B$8*12))),"")</f>
      </c>
      <c r="E589" s="42">
        <f>IF((ROW()-3)&lt;=('首頁'!$B$8*12),G589-D589,"")</f>
      </c>
      <c r="G589" s="39">
        <f>IF((ROW()-3)&lt;=('首頁'!$B$8*12),E588,"")</f>
      </c>
    </row>
    <row r="590" ht="22" customHeight="1" spans="1:7" x14ac:dyDescent="0.25">
      <c r="A590" s="36">
        <f>IF((ROW()-3)&lt;=('首頁'!$B$8*12),ROW()-3,"")</f>
      </c>
      <c r="B590" s="37">
        <f>IF((ROW()-3)&lt;=('首頁'!$B$8*12),C590+D590,"")</f>
      </c>
      <c r="C590" s="38">
        <f>IF((ROW()-3)&lt;=('首頁'!$B$8*12),G590*'首頁'!$B$7/12/100,"")</f>
      </c>
      <c r="D590" s="38">
        <f>IF((ROW()-3)&lt;=('首頁'!$B$8*12),IF(ROW()-3=('首頁'!$B$8*12),G590,MIN(G590,'首頁'!$B$6/('首頁'!$B$8*12))),"")</f>
      </c>
      <c r="E590" s="38">
        <f>IF((ROW()-3)&lt;=('首頁'!$B$8*12),G590-D590,"")</f>
      </c>
      <c r="G590" s="39">
        <f>IF((ROW()-3)&lt;=('首頁'!$B$8*12),E589,"")</f>
      </c>
    </row>
    <row r="591" ht="22" customHeight="1" spans="1:7" x14ac:dyDescent="0.25">
      <c r="A591" s="40">
        <f>IF((ROW()-3)&lt;=('首頁'!$B$8*12),ROW()-3,"")</f>
      </c>
      <c r="B591" s="41">
        <f>IF((ROW()-3)&lt;=('首頁'!$B$8*12),C591+D591,"")</f>
      </c>
      <c r="C591" s="42">
        <f>IF((ROW()-3)&lt;=('首頁'!$B$8*12),G591*'首頁'!$B$7/12/100,"")</f>
      </c>
      <c r="D591" s="42">
        <f>IF((ROW()-3)&lt;=('首頁'!$B$8*12),IF(ROW()-3=('首頁'!$B$8*12),G591,MIN(G591,'首頁'!$B$6/('首頁'!$B$8*12))),"")</f>
      </c>
      <c r="E591" s="42">
        <f>IF((ROW()-3)&lt;=('首頁'!$B$8*12),G591-D591,"")</f>
      </c>
      <c r="G591" s="39">
        <f>IF((ROW()-3)&lt;=('首頁'!$B$8*12),E590,"")</f>
      </c>
    </row>
    <row r="592" ht="22" customHeight="1" spans="1:7" x14ac:dyDescent="0.25">
      <c r="A592" s="36">
        <f>IF((ROW()-3)&lt;=('首頁'!$B$8*12),ROW()-3,"")</f>
      </c>
      <c r="B592" s="37">
        <f>IF((ROW()-3)&lt;=('首頁'!$B$8*12),C592+D592,"")</f>
      </c>
      <c r="C592" s="38">
        <f>IF((ROW()-3)&lt;=('首頁'!$B$8*12),G592*'首頁'!$B$7/12/100,"")</f>
      </c>
      <c r="D592" s="38">
        <f>IF((ROW()-3)&lt;=('首頁'!$B$8*12),IF(ROW()-3=('首頁'!$B$8*12),G592,MIN(G592,'首頁'!$B$6/('首頁'!$B$8*12))),"")</f>
      </c>
      <c r="E592" s="38">
        <f>IF((ROW()-3)&lt;=('首頁'!$B$8*12),G592-D592,"")</f>
      </c>
      <c r="G592" s="39">
        <f>IF((ROW()-3)&lt;=('首頁'!$B$8*12),E591,"")</f>
      </c>
    </row>
    <row r="593" ht="22" customHeight="1" spans="1:7" x14ac:dyDescent="0.25">
      <c r="A593" s="40">
        <f>IF((ROW()-3)&lt;=('首頁'!$B$8*12),ROW()-3,"")</f>
      </c>
      <c r="B593" s="41">
        <f>IF((ROW()-3)&lt;=('首頁'!$B$8*12),C593+D593,"")</f>
      </c>
      <c r="C593" s="42">
        <f>IF((ROW()-3)&lt;=('首頁'!$B$8*12),G593*'首頁'!$B$7/12/100,"")</f>
      </c>
      <c r="D593" s="42">
        <f>IF((ROW()-3)&lt;=('首頁'!$B$8*12),IF(ROW()-3=('首頁'!$B$8*12),G593,MIN(G593,'首頁'!$B$6/('首頁'!$B$8*12))),"")</f>
      </c>
      <c r="E593" s="42">
        <f>IF((ROW()-3)&lt;=('首頁'!$B$8*12),G593-D593,"")</f>
      </c>
      <c r="G593" s="39">
        <f>IF((ROW()-3)&lt;=('首頁'!$B$8*12),E592,"")</f>
      </c>
    </row>
    <row r="594" ht="22" customHeight="1" spans="1:7" x14ac:dyDescent="0.25">
      <c r="A594" s="36">
        <f>IF((ROW()-3)&lt;=('首頁'!$B$8*12),ROW()-3,"")</f>
      </c>
      <c r="B594" s="37">
        <f>IF((ROW()-3)&lt;=('首頁'!$B$8*12),C594+D594,"")</f>
      </c>
      <c r="C594" s="38">
        <f>IF((ROW()-3)&lt;=('首頁'!$B$8*12),G594*'首頁'!$B$7/12/100,"")</f>
      </c>
      <c r="D594" s="38">
        <f>IF((ROW()-3)&lt;=('首頁'!$B$8*12),IF(ROW()-3=('首頁'!$B$8*12),G594,MIN(G594,'首頁'!$B$6/('首頁'!$B$8*12))),"")</f>
      </c>
      <c r="E594" s="38">
        <f>IF((ROW()-3)&lt;=('首頁'!$B$8*12),G594-D594,"")</f>
      </c>
      <c r="G594" s="39">
        <f>IF((ROW()-3)&lt;=('首頁'!$B$8*12),E593,"")</f>
      </c>
    </row>
    <row r="595" ht="22" customHeight="1" spans="1:7" x14ac:dyDescent="0.25">
      <c r="A595" s="40">
        <f>IF((ROW()-3)&lt;=('首頁'!$B$8*12),ROW()-3,"")</f>
      </c>
      <c r="B595" s="41">
        <f>IF((ROW()-3)&lt;=('首頁'!$B$8*12),C595+D595,"")</f>
      </c>
      <c r="C595" s="42">
        <f>IF((ROW()-3)&lt;=('首頁'!$B$8*12),G595*'首頁'!$B$7/12/100,"")</f>
      </c>
      <c r="D595" s="42">
        <f>IF((ROW()-3)&lt;=('首頁'!$B$8*12),IF(ROW()-3=('首頁'!$B$8*12),G595,MIN(G595,'首頁'!$B$6/('首頁'!$B$8*12))),"")</f>
      </c>
      <c r="E595" s="42">
        <f>IF((ROW()-3)&lt;=('首頁'!$B$8*12),G595-D595,"")</f>
      </c>
      <c r="G595" s="39">
        <f>IF((ROW()-3)&lt;=('首頁'!$B$8*12),E594,"")</f>
      </c>
    </row>
    <row r="596" ht="22" customHeight="1" spans="1:7" x14ac:dyDescent="0.25">
      <c r="A596" s="36">
        <f>IF((ROW()-3)&lt;=('首頁'!$B$8*12),ROW()-3,"")</f>
      </c>
      <c r="B596" s="37">
        <f>IF((ROW()-3)&lt;=('首頁'!$B$8*12),C596+D596,"")</f>
      </c>
      <c r="C596" s="38">
        <f>IF((ROW()-3)&lt;=('首頁'!$B$8*12),G596*'首頁'!$B$7/12/100,"")</f>
      </c>
      <c r="D596" s="38">
        <f>IF((ROW()-3)&lt;=('首頁'!$B$8*12),IF(ROW()-3=('首頁'!$B$8*12),G596,MIN(G596,'首頁'!$B$6/('首頁'!$B$8*12))),"")</f>
      </c>
      <c r="E596" s="38">
        <f>IF((ROW()-3)&lt;=('首頁'!$B$8*12),G596-D596,"")</f>
      </c>
      <c r="G596" s="39">
        <f>IF((ROW()-3)&lt;=('首頁'!$B$8*12),E595,"")</f>
      </c>
    </row>
    <row r="597" ht="22" customHeight="1" spans="1:7" x14ac:dyDescent="0.25">
      <c r="A597" s="40">
        <f>IF((ROW()-3)&lt;=('首頁'!$B$8*12),ROW()-3,"")</f>
      </c>
      <c r="B597" s="41">
        <f>IF((ROW()-3)&lt;=('首頁'!$B$8*12),C597+D597,"")</f>
      </c>
      <c r="C597" s="42">
        <f>IF((ROW()-3)&lt;=('首頁'!$B$8*12),G597*'首頁'!$B$7/12/100,"")</f>
      </c>
      <c r="D597" s="42">
        <f>IF((ROW()-3)&lt;=('首頁'!$B$8*12),IF(ROW()-3=('首頁'!$B$8*12),G597,MIN(G597,'首頁'!$B$6/('首頁'!$B$8*12))),"")</f>
      </c>
      <c r="E597" s="42">
        <f>IF((ROW()-3)&lt;=('首頁'!$B$8*12),G597-D597,"")</f>
      </c>
      <c r="G597" s="39">
        <f>IF((ROW()-3)&lt;=('首頁'!$B$8*12),E596,"")</f>
      </c>
    </row>
    <row r="598" ht="22" customHeight="1" spans="1:7" x14ac:dyDescent="0.25">
      <c r="A598" s="36">
        <f>IF((ROW()-3)&lt;=('首頁'!$B$8*12),ROW()-3,"")</f>
      </c>
      <c r="B598" s="37">
        <f>IF((ROW()-3)&lt;=('首頁'!$B$8*12),C598+D598,"")</f>
      </c>
      <c r="C598" s="38">
        <f>IF((ROW()-3)&lt;=('首頁'!$B$8*12),G598*'首頁'!$B$7/12/100,"")</f>
      </c>
      <c r="D598" s="38">
        <f>IF((ROW()-3)&lt;=('首頁'!$B$8*12),IF(ROW()-3=('首頁'!$B$8*12),G598,MIN(G598,'首頁'!$B$6/('首頁'!$B$8*12))),"")</f>
      </c>
      <c r="E598" s="38">
        <f>IF((ROW()-3)&lt;=('首頁'!$B$8*12),G598-D598,"")</f>
      </c>
      <c r="G598" s="39">
        <f>IF((ROW()-3)&lt;=('首頁'!$B$8*12),E597,"")</f>
      </c>
    </row>
    <row r="599" ht="22" customHeight="1" spans="1:7" x14ac:dyDescent="0.25">
      <c r="A599" s="40">
        <f>IF((ROW()-3)&lt;=('首頁'!$B$8*12),ROW()-3,"")</f>
      </c>
      <c r="B599" s="41">
        <f>IF((ROW()-3)&lt;=('首頁'!$B$8*12),C599+D599,"")</f>
      </c>
      <c r="C599" s="42">
        <f>IF((ROW()-3)&lt;=('首頁'!$B$8*12),G599*'首頁'!$B$7/12/100,"")</f>
      </c>
      <c r="D599" s="42">
        <f>IF((ROW()-3)&lt;=('首頁'!$B$8*12),IF(ROW()-3=('首頁'!$B$8*12),G599,MIN(G599,'首頁'!$B$6/('首頁'!$B$8*12))),"")</f>
      </c>
      <c r="E599" s="42">
        <f>IF((ROW()-3)&lt;=('首頁'!$B$8*12),G599-D599,"")</f>
      </c>
      <c r="G599" s="39">
        <f>IF((ROW()-3)&lt;=('首頁'!$B$8*12),E598,"")</f>
      </c>
    </row>
    <row r="600" ht="22" customHeight="1" spans="1:7" x14ac:dyDescent="0.25">
      <c r="A600" s="36">
        <f>IF((ROW()-3)&lt;=('首頁'!$B$8*12),ROW()-3,"")</f>
      </c>
      <c r="B600" s="37">
        <f>IF((ROW()-3)&lt;=('首頁'!$B$8*12),C600+D600,"")</f>
      </c>
      <c r="C600" s="38">
        <f>IF((ROW()-3)&lt;=('首頁'!$B$8*12),G600*'首頁'!$B$7/12/100,"")</f>
      </c>
      <c r="D600" s="38">
        <f>IF((ROW()-3)&lt;=('首頁'!$B$8*12),IF(ROW()-3=('首頁'!$B$8*12),G600,MIN(G600,'首頁'!$B$6/('首頁'!$B$8*12))),"")</f>
      </c>
      <c r="E600" s="38">
        <f>IF((ROW()-3)&lt;=('首頁'!$B$8*12),G600-D600,"")</f>
      </c>
      <c r="G600" s="39">
        <f>IF((ROW()-3)&lt;=('首頁'!$B$8*12),E599,"")</f>
      </c>
    </row>
    <row r="601" ht="22" customHeight="1" spans="1:7" x14ac:dyDescent="0.25">
      <c r="A601" s="40">
        <f>IF((ROW()-3)&lt;=('首頁'!$B$8*12),ROW()-3,"")</f>
      </c>
      <c r="B601" s="41">
        <f>IF((ROW()-3)&lt;=('首頁'!$B$8*12),C601+D601,"")</f>
      </c>
      <c r="C601" s="42">
        <f>IF((ROW()-3)&lt;=('首頁'!$B$8*12),G601*'首頁'!$B$7/12/100,"")</f>
      </c>
      <c r="D601" s="42">
        <f>IF((ROW()-3)&lt;=('首頁'!$B$8*12),IF(ROW()-3=('首頁'!$B$8*12),G601,MIN(G601,'首頁'!$B$6/('首頁'!$B$8*12))),"")</f>
      </c>
      <c r="E601" s="42">
        <f>IF((ROW()-3)&lt;=('首頁'!$B$8*12),G601-D601,"")</f>
      </c>
      <c r="G601" s="39">
        <f>IF((ROW()-3)&lt;=('首頁'!$B$8*12),E600,"")</f>
      </c>
    </row>
    <row r="602" ht="22" customHeight="1" spans="1:7" x14ac:dyDescent="0.25">
      <c r="A602" s="36">
        <f>IF((ROW()-3)&lt;=('首頁'!$B$8*12),ROW()-3,"")</f>
      </c>
      <c r="B602" s="37">
        <f>IF((ROW()-3)&lt;=('首頁'!$B$8*12),C602+D602,"")</f>
      </c>
      <c r="C602" s="38">
        <f>IF((ROW()-3)&lt;=('首頁'!$B$8*12),G602*'首頁'!$B$7/12/100,"")</f>
      </c>
      <c r="D602" s="38">
        <f>IF((ROW()-3)&lt;=('首頁'!$B$8*12),IF(ROW()-3=('首頁'!$B$8*12),G602,MIN(G602,'首頁'!$B$6/('首頁'!$B$8*12))),"")</f>
      </c>
      <c r="E602" s="38">
        <f>IF((ROW()-3)&lt;=('首頁'!$B$8*12),G602-D602,"")</f>
      </c>
      <c r="G602" s="39">
        <f>IF((ROW()-3)&lt;=('首頁'!$B$8*12),E601,"")</f>
      </c>
    </row>
    <row r="603" ht="22" customHeight="1" spans="1:7" x14ac:dyDescent="0.25">
      <c r="A603" s="40">
        <f>IF((ROW()-3)&lt;=('首頁'!$B$8*12),ROW()-3,"")</f>
      </c>
      <c r="B603" s="41">
        <f>IF((ROW()-3)&lt;=('首頁'!$B$8*12),C603+D603,"")</f>
      </c>
      <c r="C603" s="42">
        <f>IF((ROW()-3)&lt;=('首頁'!$B$8*12),G603*'首頁'!$B$7/12/100,"")</f>
      </c>
      <c r="D603" s="42">
        <f>IF((ROW()-3)&lt;=('首頁'!$B$8*12),IF(ROW()-3=('首頁'!$B$8*12),G603,MIN(G603,'首頁'!$B$6/('首頁'!$B$8*12))),"")</f>
      </c>
      <c r="E603" s="42">
        <f>IF((ROW()-3)&lt;=('首頁'!$B$8*12),G603-D603,"")</f>
      </c>
      <c r="G603" s="39">
        <f>IF((ROW()-3)&lt;=('首頁'!$B$8*12),E602,"")</f>
      </c>
    </row>
  </sheetData>
  <mergeCells count="2">
    <mergeCell ref="B1:E1"/>
    <mergeCell ref="A2:E2"/>
  </mergeCells>
  <hyperlinks>
    <hyperlink ref="A1" r:id="rId1" tooltip="返回首頁試算" location="#'首頁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首頁</vt:lpstr>
      <vt:lpstr>本息均攤</vt:lpstr>
      <vt:lpstr>本金平均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財富自由計算機</dc:creator>
  <dc:title/>
  <dc:subject/>
  <dc:description/>
  <cp:keywords/>
  <cp:category/>
  <cp:lastModifiedBy>Unknown</cp:lastModifiedBy>
  <dcterms:created xsi:type="dcterms:W3CDTF">2026-06-14T02:45:56Z</dcterms:created>
  <dcterms:modified xsi:type="dcterms:W3CDTF">2026-06-14T02:45:56Z</dcterms:modified>
</cp:coreProperties>
</file>