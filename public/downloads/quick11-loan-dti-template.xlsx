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首頁" state="visible" r:id="rId4"/>
    <sheet sheetId="2" name="_reserved" state="veryHidden" r:id="rId5"/>
  </sheets>
  <calcPr calcId="171027"/>
</workbook>
</file>

<file path=xl/sharedStrings.xml><?xml version="1.0" encoding="utf-8"?>
<sst xmlns="http://schemas.openxmlformats.org/spreadsheetml/2006/main" count="77" uniqueCount="57">
  <si>
    <t>破產計算機・貸款利息試算表（公式可改）</t>
  </si>
  <si>
    <t>v2-home-dual-20260613</t>
  </si>
  <si>
    <t>【 輸入區 】改 B 欄數字即可自動計算 ｜ 右側：參數總覽＋資金總覽</t>
  </si>
  <si>
    <t>✏️  輸入參數</t>
  </si>
  <si>
    <t>📋  參數總覽</t>
  </si>
  <si>
    <t>項目</t>
  </si>
  <si>
    <t>數值</t>
  </si>
  <si>
    <t>單位</t>
  </si>
  <si>
    <t>說明</t>
  </si>
  <si>
    <t>摘要</t>
  </si>
  <si>
    <t>🏠  貸款本金</t>
  </si>
  <si>
    <t>NT$</t>
  </si>
  <si>
    <t>例：1200 萬</t>
  </si>
  <si>
    <t>貸款本金</t>
  </si>
  <si>
    <t>📊  年利率</t>
  </si>
  <si>
    <t>%</t>
  </si>
  <si>
    <t>例：2.2 純數字</t>
  </si>
  <si>
    <t>年利率</t>
  </si>
  <si>
    <t>📅  貸款年期</t>
  </si>
  <si>
    <t>年</t>
  </si>
  <si>
    <t>例：30 純數字</t>
  </si>
  <si>
    <t>貸款年期</t>
  </si>
  <si>
    <t>👤  月收入（預警）</t>
  </si>
  <si>
    <t>算 DTI 用</t>
  </si>
  <si>
    <t>月收入</t>
  </si>
  <si>
    <t>🧮  試算結果</t>
  </si>
  <si>
    <t>💰  資金總覽</t>
  </si>
  <si>
    <t>結果</t>
  </si>
  <si>
    <t>公式說明</t>
  </si>
  <si>
    <t>本息均攤</t>
  </si>
  <si>
    <t>本息均攤 · 每月繳款</t>
  </si>
  <si>
    <t>PMT：月利率＝年利率÷12÷100</t>
  </si>
  <si>
    <t>本息 · 每月繳款</t>
  </si>
  <si>
    <t>本息均攤 · 首期利息</t>
  </si>
  <si>
    <t>第一個月利息</t>
  </si>
  <si>
    <t>本息 · 首期利息</t>
  </si>
  <si>
    <t>本息均攤 · 總繳利息</t>
  </si>
  <si>
    <t>總付款－本金</t>
  </si>
  <si>
    <t>本息 · 總繳利息</t>
  </si>
  <si>
    <t>本息均攤 · 總繳金額</t>
  </si>
  <si>
    <t>本金＋總利息</t>
  </si>
  <si>
    <t>本息 · 總繳金額</t>
  </si>
  <si>
    <t>本金平均 · 首月繳款</t>
  </si>
  <si>
    <t>固定本金＋當月利息</t>
  </si>
  <si>
    <t>本金平均 · 首期利息</t>
  </si>
  <si>
    <t>本金平均 · 總繳利息</t>
  </si>
  <si>
    <t>遞減利息加總</t>
  </si>
  <si>
    <t>本金平均 · 總繳金額</t>
  </si>
  <si>
    <t>DTI 債務收入比</t>
  </si>
  <si>
    <t>本息月付÷月收入；&lt;35% 安全</t>
  </si>
  <si>
    <t>負債比（DTI）</t>
  </si>
  <si>
    <t>財務健康狀態</t>
  </si>
  <si>
    <t/>
  </si>
  <si>
    <t>利息佔本金比例</t>
  </si>
  <si>
    <t>多出多少（本息）</t>
  </si>
  <si>
    <t>（試算結果僅供參考，實際以銀行／法令為準；負債比建議＜35%，≥50% 為破產預警。）</t>
  </si>
  <si>
    <t>reserved for future tabs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</si>
</sst>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color theme="1"/>
      <family val="2"/>
      <scheme val="minor"/>
      <sz val="11"/>
      <name val="Calibri"/>
    </font>
    <font>
      <b/>
      <color rgb="FFFFFFFF"/>
      <sz val="16"/>
      <name val="微軟正黑體"/>
    </font>
    <font>
      <color rgb="FF64748B"/>
      <sz val="9"/>
      <name val="微軟正黑體"/>
    </font>
    <font>
      <b/>
      <color rgb="FF475569"/>
      <sz val="14"/>
      <name val="微軟正黑體"/>
    </font>
    <font>
      <b/>
      <color rgb="FFFFFFFF"/>
      <sz val="11"/>
      <name val="微軟正黑體"/>
    </font>
    <font>
      <b/>
      <color rgb="FF475569"/>
      <sz val="10"/>
      <name val="微軟正黑體"/>
    </font>
    <font>
      <color rgb="FF1E293B"/>
      <sz val="11"/>
      <name val="微軟正黑體"/>
    </font>
    <font>
      <b/>
      <color rgb="FF0284C7"/>
      <sz val="11"/>
      <name val="微軟正黑體"/>
    </font>
    <font>
      <color rgb="FF475569"/>
      <sz val="10"/>
      <name val="微軟正黑體"/>
    </font>
    <font>
      <color rgb="FF64748B"/>
      <sz val="10"/>
      <name val="微軟正黑體"/>
    </font>
    <font>
      <b/>
      <color rgb="FF0369A1"/>
      <sz val="11"/>
      <name val="微軟正黑體"/>
    </font>
    <font>
      <b/>
      <color rgb="FFEA580C"/>
      <sz val="11"/>
      <name val="微軟正黑體"/>
    </font>
    <font>
      <b/>
      <color rgb="FFDC2626"/>
      <sz val="11"/>
      <name val="微軟正黑體"/>
    </font>
  </fonts>
  <fills count="9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F8F9FA"/>
      </patternFill>
    </fill>
    <fill>
      <patternFill patternType="solid">
        <fgColor rgb="FFE2E8F0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EF2F2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 vertical="center" indent="1"/>
    </xf>
    <xf numFmtId="0" fontId="4" fillId="2" borderId="1" xfId="0" applyFont="1" applyFill="1" applyBorder="1" applyAlignment="1">
      <alignment horizontal="left" vertical="center" indent="1"/>
    </xf>
    <xf numFmtId="0" fontId="0" fillId="4" borderId="0" xfId="0" applyFill="1"/>
    <xf numFmtId="0" fontId="5" fillId="5" borderId="1" xfId="0" applyFont="1" applyFill="1" applyBorder="1" applyAlignment="1">
      <alignment horizontal="left" vertical="center" indent="1"/>
    </xf>
    <xf numFmtId="0" fontId="5" fillId="5" borderId="1" xfId="0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 indent="1"/>
    </xf>
    <xf numFmtId="3" fontId="7" fillId="6" borderId="1" xfId="0" applyNumberFormat="1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left" vertical="center" indent="1"/>
    </xf>
    <xf numFmtId="2" fontId="7" fillId="7" borderId="1" xfId="0" applyNumberFormat="1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right" vertical="center"/>
    </xf>
    <xf numFmtId="1" fontId="7" fillId="6" borderId="1" xfId="0" applyNumberFormat="1" applyFont="1" applyFill="1" applyBorder="1" applyAlignment="1">
      <alignment horizontal="right" vertical="center"/>
    </xf>
    <xf numFmtId="3" fontId="7" fillId="7" borderId="1" xfId="0" applyNumberFormat="1" applyFont="1" applyFill="1" applyBorder="1" applyAlignment="1">
      <alignment horizontal="right" vertical="center"/>
    </xf>
    <xf numFmtId="0" fontId="0" fillId="3" borderId="0" xfId="0" applyFill="1"/>
    <xf numFmtId="3" fontId="10" fillId="7" borderId="1" xfId="0" applyNumberFormat="1" applyFont="1" applyFill="1" applyBorder="1" applyAlignment="1">
      <alignment horizontal="right" vertical="center"/>
    </xf>
    <xf numFmtId="164" fontId="11" fillId="6" borderId="1" xfId="0" applyNumberFormat="1" applyFont="1" applyFill="1" applyBorder="1" applyAlignment="1">
      <alignment horizontal="right" vertical="center"/>
    </xf>
    <xf numFmtId="0" fontId="12" fillId="6" borderId="1" xfId="0" applyFont="1" applyFill="1" applyBorder="1" applyAlignment="1">
      <alignment horizontal="left" vertical="center" indent="1"/>
    </xf>
    <xf numFmtId="0" fontId="9" fillId="6" borderId="1" xfId="0" applyFont="1" applyFill="1" applyBorder="1" applyAlignment="1">
      <alignment horizontal="left" vertical="center"/>
    </xf>
    <xf numFmtId="10" fontId="10" fillId="7" borderId="1" xfId="0" applyNumberFormat="1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</cellXfs>
  <cellStyles count="1">
    <cellStyle name="Normal" xfId="0" builtinId="0"/>
  </cellStyles>
  <dxfs count="8">
    <dxf>
      <font>
        <b/>
        <color rgb="FFDC2626"/>
        <sz val="11"/>
        <name val="微軟正黑體"/>
      </font>
      <fill>
        <patternFill patternType="solid">
          <bgColor rgb="FFFEF2F2"/>
        </patternFill>
      </fill>
    </dxf>
    <dxf>
      <font>
        <b/>
        <color rgb="FFEA580C"/>
        <sz val="11"/>
        <name val="微軟正黑體"/>
      </font>
      <fill>
        <patternFill patternType="solid">
          <bgColor rgb="FFFFF7ED"/>
        </patternFill>
      </fill>
    </dxf>
    <dxf>
      <font>
        <b/>
        <color rgb="FF059669"/>
        <sz val="11"/>
        <name val="微軟正黑體"/>
      </font>
      <fill>
        <patternFill patternType="solid">
          <bgColor rgb="FFECFDF5"/>
        </patternFill>
      </fill>
    </dxf>
    <dxf>
      <font>
        <b/>
        <color rgb="FFDC2626"/>
        <sz val="11"/>
        <name val="微軟正黑體"/>
      </font>
    </dxf>
    <dxf>
      <font>
        <b/>
        <color rgb="FFEA580C"/>
        <sz val="11"/>
        <name val="微軟正黑體"/>
      </font>
    </dxf>
    <dxf>
      <font>
        <b/>
        <color rgb="FFDC2626"/>
        <sz val="11"/>
        <name val="微軟正黑體"/>
      </font>
      <fill>
        <patternFill patternType="solid">
          <bgColor rgb="FFFEF2F2"/>
        </patternFill>
      </fill>
    </dxf>
    <dxf>
      <font>
        <b/>
        <color rgb="FFEA580C"/>
        <sz val="11"/>
        <name val="微軟正黑體"/>
      </font>
      <fill>
        <patternFill patternType="solid">
          <bgColor rgb="FFFFF7ED"/>
        </patternFill>
      </fill>
    </dxf>
    <dxf>
      <font>
        <b/>
        <color rgb="FF059669"/>
        <sz val="11"/>
        <name val="微軟正黑體"/>
      </font>
      <fill>
        <patternFill patternType="solid"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284C7"/>
    <pageSetUpPr fitToPage="1"/>
  </sheetPr>
  <dimension ref="A1:H24"/>
  <sheetViews>
    <sheetView workbookViewId="0" showGridLines="0" zoomScale="80">
      <selection activeCell="F5" sqref="F5"/>
    </sheetView>
  </sheetViews>
  <sheetFormatPr defaultRowHeight="22" outlineLevelRow="0" outlineLevelCol="0" x14ac:dyDescent="55" customHeight="1"/>
  <cols>
    <col min="1" max="1" width="19" customWidth="1"/>
    <col min="2" max="2" width="12" customWidth="1"/>
    <col min="3" max="3" width="6" customWidth="1"/>
    <col min="4" max="4" width="20" customWidth="1"/>
    <col min="5" max="5" width="1.5" customWidth="1"/>
    <col min="6" max="6" width="18" customWidth="1"/>
    <col min="7" max="7" width="15" customWidth="1"/>
  </cols>
  <sheetData>
    <row r="1" ht="30" customHeight="1" spans="1:8" x14ac:dyDescent="0.25">
      <c r="A1" s="1" t="s">
        <v>0</v>
      </c>
      <c r="B1" s="1"/>
      <c r="C1" s="1"/>
      <c r="D1" s="1"/>
      <c r="E1" s="1"/>
      <c r="F1" s="1"/>
      <c r="G1" s="1"/>
      <c r="H1" s="2" t="s">
        <v>1</v>
      </c>
    </row>
    <row r="2" ht="22" customHeight="1" spans="1:7" x14ac:dyDescent="0.25">
      <c r="A2" s="3" t="s">
        <v>2</v>
      </c>
      <c r="B2" s="3"/>
      <c r="C2" s="3"/>
      <c r="D2" s="3"/>
      <c r="E2" s="3"/>
      <c r="F2" s="3"/>
      <c r="G2" s="3"/>
    </row>
    <row r="3" ht="26" customHeight="1" spans="1:7" x14ac:dyDescent="0.25">
      <c r="A3" s="4" t="s">
        <v>3</v>
      </c>
      <c r="B3" s="4"/>
      <c r="C3" s="4"/>
      <c r="D3" s="4"/>
      <c r="E3" s="5"/>
      <c r="F3" s="4" t="s">
        <v>4</v>
      </c>
      <c r="G3" s="4"/>
    </row>
    <row r="4" ht="24" customHeight="1" spans="1:7" x14ac:dyDescent="0.25">
      <c r="A4" s="6" t="s">
        <v>5</v>
      </c>
      <c r="B4" s="7" t="s">
        <v>6</v>
      </c>
      <c r="C4" s="8" t="s">
        <v>7</v>
      </c>
      <c r="D4" s="9" t="s">
        <v>8</v>
      </c>
      <c r="E4" s="5"/>
      <c r="F4" s="6" t="s">
        <v>9</v>
      </c>
      <c r="G4" s="7" t="s">
        <v>6</v>
      </c>
    </row>
    <row r="5" ht="22" customHeight="1" spans="1:7" x14ac:dyDescent="0.25">
      <c r="A5" s="10" t="s">
        <v>10</v>
      </c>
      <c r="B5" s="11">
        <v>12000000</v>
      </c>
      <c r="C5" s="12" t="s">
        <v>11</v>
      </c>
      <c r="D5" s="13" t="s">
        <v>12</v>
      </c>
      <c r="E5" s="5"/>
      <c r="F5" s="10" t="s">
        <v>13</v>
      </c>
      <c r="G5" s="14">
        <f>B5</f>
      </c>
    </row>
    <row r="6" ht="22" customHeight="1" spans="1:7" x14ac:dyDescent="0.25">
      <c r="A6" s="15" t="s">
        <v>14</v>
      </c>
      <c r="B6" s="16">
        <v>2.2</v>
      </c>
      <c r="C6" s="17" t="s">
        <v>15</v>
      </c>
      <c r="D6" s="18" t="s">
        <v>16</v>
      </c>
      <c r="E6" s="5"/>
      <c r="F6" s="10" t="s">
        <v>17</v>
      </c>
      <c r="G6" s="19">
        <f>TEXT(B6,"0.00")&amp;"%"</f>
      </c>
    </row>
    <row r="7" ht="22" customHeight="1" spans="1:7" x14ac:dyDescent="0.25">
      <c r="A7" s="10" t="s">
        <v>18</v>
      </c>
      <c r="B7" s="20">
        <v>30</v>
      </c>
      <c r="C7" s="12" t="s">
        <v>19</v>
      </c>
      <c r="D7" s="13" t="s">
        <v>20</v>
      </c>
      <c r="E7" s="5"/>
      <c r="F7" s="10" t="s">
        <v>21</v>
      </c>
      <c r="G7" s="19">
        <f>TEXT(B7,"0")&amp;" 年"</f>
      </c>
    </row>
    <row r="8" ht="22" customHeight="1" spans="1:7" x14ac:dyDescent="0.25">
      <c r="A8" s="15" t="s">
        <v>22</v>
      </c>
      <c r="B8" s="21">
        <v>80000</v>
      </c>
      <c r="C8" s="17" t="s">
        <v>11</v>
      </c>
      <c r="D8" s="18" t="s">
        <v>23</v>
      </c>
      <c r="E8" s="5"/>
      <c r="F8" s="10" t="s">
        <v>24</v>
      </c>
      <c r="G8" s="14">
        <f>B8</f>
      </c>
    </row>
    <row r="9" ht="8" customHeight="1" spans="1:7" x14ac:dyDescent="0.25">
      <c r="A9" s="22"/>
      <c r="B9" s="22"/>
      <c r="C9" s="22"/>
      <c r="D9" s="22"/>
      <c r="E9" s="5"/>
      <c r="F9" s="22"/>
      <c r="G9" s="22"/>
    </row>
    <row r="10" ht="26" customHeight="1" spans="1:7" x14ac:dyDescent="0.25">
      <c r="A10" s="4" t="s">
        <v>25</v>
      </c>
      <c r="B10" s="4"/>
      <c r="C10" s="4"/>
      <c r="D10" s="4"/>
      <c r="E10" s="5"/>
      <c r="F10" s="4" t="s">
        <v>26</v>
      </c>
      <c r="G10" s="4"/>
    </row>
    <row r="11" ht="24" customHeight="1" spans="1:7" x14ac:dyDescent="0.25">
      <c r="A11" s="6" t="s">
        <v>5</v>
      </c>
      <c r="B11" s="7" t="s">
        <v>27</v>
      </c>
      <c r="C11" s="8" t="s">
        <v>7</v>
      </c>
      <c r="D11" s="9" t="s">
        <v>28</v>
      </c>
      <c r="E11" s="5"/>
      <c r="F11" s="6" t="s">
        <v>29</v>
      </c>
      <c r="G11" s="7" t="s">
        <v>6</v>
      </c>
    </row>
    <row r="12" ht="22" customHeight="1" spans="1:7" x14ac:dyDescent="0.25">
      <c r="A12" s="10" t="s">
        <v>30</v>
      </c>
      <c r="B12" s="14">
        <f>PMT(B6/12/100,B7*12,-B5)</f>
      </c>
      <c r="C12" s="12" t="s">
        <v>11</v>
      </c>
      <c r="D12" s="13" t="s">
        <v>31</v>
      </c>
      <c r="E12" s="5"/>
      <c r="F12" s="10" t="s">
        <v>32</v>
      </c>
      <c r="G12" s="14">
        <f>B12</f>
      </c>
    </row>
    <row r="13" ht="22" customHeight="1" spans="1:7" x14ac:dyDescent="0.25">
      <c r="A13" s="15" t="s">
        <v>33</v>
      </c>
      <c r="B13" s="23">
        <f>B5*B6/12/100</f>
      </c>
      <c r="C13" s="17" t="s">
        <v>11</v>
      </c>
      <c r="D13" s="18" t="s">
        <v>34</v>
      </c>
      <c r="E13" s="5"/>
      <c r="F13" s="10" t="s">
        <v>35</v>
      </c>
      <c r="G13" s="19">
        <f>B13</f>
      </c>
    </row>
    <row r="14" ht="22" customHeight="1" spans="1:7" x14ac:dyDescent="0.25">
      <c r="A14" s="10" t="s">
        <v>36</v>
      </c>
      <c r="B14" s="14">
        <f>B12*B7*12-B5</f>
      </c>
      <c r="C14" s="12" t="s">
        <v>11</v>
      </c>
      <c r="D14" s="13" t="s">
        <v>37</v>
      </c>
      <c r="E14" s="5"/>
      <c r="F14" s="10" t="s">
        <v>38</v>
      </c>
      <c r="G14" s="14">
        <f>B14</f>
      </c>
    </row>
    <row r="15" ht="22" customHeight="1" spans="1:7" x14ac:dyDescent="0.25">
      <c r="A15" s="15" t="s">
        <v>39</v>
      </c>
      <c r="B15" s="23">
        <f>B5+B14</f>
      </c>
      <c r="C15" s="17" t="s">
        <v>11</v>
      </c>
      <c r="D15" s="18" t="s">
        <v>40</v>
      </c>
      <c r="E15" s="5"/>
      <c r="F15" s="15" t="s">
        <v>41</v>
      </c>
      <c r="G15" s="23">
        <f>B15</f>
      </c>
    </row>
    <row r="16" ht="22" customHeight="1" spans="1:7" x14ac:dyDescent="0.25">
      <c r="A16" s="10" t="s">
        <v>42</v>
      </c>
      <c r="B16" s="14">
        <f>B5/B7*12+B5*B6/12/100</f>
      </c>
      <c r="C16" s="12" t="s">
        <v>11</v>
      </c>
      <c r="D16" s="13" t="s">
        <v>43</v>
      </c>
      <c r="E16" s="5"/>
      <c r="F16" s="10" t="s">
        <v>42</v>
      </c>
      <c r="G16" s="19">
        <f>B16</f>
      </c>
    </row>
    <row r="17" ht="22" customHeight="1" spans="1:7" x14ac:dyDescent="0.25">
      <c r="A17" s="15" t="s">
        <v>44</v>
      </c>
      <c r="B17" s="23">
        <f>B5*B6/12/100</f>
      </c>
      <c r="C17" s="17" t="s">
        <v>11</v>
      </c>
      <c r="D17" s="18" t="s">
        <v>34</v>
      </c>
      <c r="E17" s="5"/>
      <c r="F17" s="10" t="s">
        <v>44</v>
      </c>
      <c r="G17" s="19">
        <f>B17</f>
      </c>
    </row>
    <row r="18" ht="22" customHeight="1" spans="1:7" x14ac:dyDescent="0.25">
      <c r="A18" s="10" t="s">
        <v>45</v>
      </c>
      <c r="B18" s="14">
        <f>B5*B6/12/100*(B7*12+1)/2</f>
      </c>
      <c r="C18" s="12" t="s">
        <v>11</v>
      </c>
      <c r="D18" s="13" t="s">
        <v>46</v>
      </c>
      <c r="E18" s="5"/>
      <c r="F18" s="10" t="s">
        <v>45</v>
      </c>
      <c r="G18" s="14">
        <f>B18</f>
      </c>
    </row>
    <row r="19" ht="22" customHeight="1" spans="1:7" x14ac:dyDescent="0.25">
      <c r="A19" s="15" t="s">
        <v>47</v>
      </c>
      <c r="B19" s="23">
        <f>B5+B18</f>
      </c>
      <c r="C19" s="17" t="s">
        <v>11</v>
      </c>
      <c r="D19" s="18" t="s">
        <v>40</v>
      </c>
      <c r="E19" s="5"/>
      <c r="F19" s="15" t="s">
        <v>47</v>
      </c>
      <c r="G19" s="23">
        <f>B19</f>
      </c>
    </row>
    <row r="20" ht="22" customHeight="1" spans="1:7" x14ac:dyDescent="0.25">
      <c r="A20" s="10" t="s">
        <v>48</v>
      </c>
      <c r="B20" s="24">
        <f>IF(B8=0,0,B12/B8)</f>
      </c>
      <c r="C20" s="12" t="s">
        <v>15</v>
      </c>
      <c r="D20" s="13" t="s">
        <v>49</v>
      </c>
      <c r="E20" s="5"/>
      <c r="F20" s="10" t="s">
        <v>50</v>
      </c>
      <c r="G20" s="19">
        <f>TEXT(B20,"0.0%")</f>
      </c>
    </row>
    <row r="21" ht="22" customHeight="1" spans="1:7" x14ac:dyDescent="0.25">
      <c r="A21" s="25" t="s">
        <v>51</v>
      </c>
      <c r="B21" s="26" t="s">
        <v>52</v>
      </c>
      <c r="C21" s="26"/>
      <c r="D21" s="26"/>
      <c r="E21" s="5"/>
      <c r="F21" s="15" t="s">
        <v>53</v>
      </c>
      <c r="G21" s="27">
        <f>IF(B5=0,0,B14/B5)</f>
      </c>
    </row>
    <row r="22" ht="22" customHeight="1" spans="1:7" x14ac:dyDescent="0.25">
      <c r="A22" s="22"/>
      <c r="B22" s="22"/>
      <c r="C22" s="22"/>
      <c r="D22" s="22"/>
      <c r="E22" s="5"/>
      <c r="F22" s="15" t="s">
        <v>54</v>
      </c>
      <c r="G22" s="23">
        <f>B14</f>
      </c>
    </row>
    <row r="23" ht="30" customHeight="1" spans="1:7" x14ac:dyDescent="0.25">
      <c r="A23" s="28">
        <f>IF(B20&gt;=0.5,"⚠ 財務健康狀態｜破產預警：先降月付或提高收入",IF(B20&gt;=0.35,"⚠ 財務健康狀態｜壓力偏高：月付偏緊，建議調整貸款條件","✓ 財務健康狀態｜安全區：現金流尚可"))</f>
      </c>
      <c r="B23" s="28"/>
      <c r="C23" s="28"/>
      <c r="D23" s="28"/>
      <c r="E23" s="28"/>
      <c r="F23" s="28"/>
      <c r="G23" s="28"/>
    </row>
    <row r="24" ht="28" customHeight="1" spans="1:7" x14ac:dyDescent="0.25">
      <c r="A24" s="29" t="s">
        <v>55</v>
      </c>
      <c r="B24" s="29"/>
      <c r="C24" s="29"/>
      <c r="D24" s="29"/>
      <c r="E24" s="29"/>
      <c r="F24" s="29"/>
      <c r="G24" s="29"/>
    </row>
  </sheetData>
  <mergeCells count="9">
    <mergeCell ref="A1:G1"/>
    <mergeCell ref="A2:G2"/>
    <mergeCell ref="A3:D3"/>
    <mergeCell ref="F3:G3"/>
    <mergeCell ref="A10:D10"/>
    <mergeCell ref="F10:G10"/>
    <mergeCell ref="B21:D21"/>
    <mergeCell ref="A23:G23"/>
    <mergeCell ref="A24:G24"/>
  </mergeCells>
  <conditionalFormatting sqref="A21:D21">
    <cfRule type="expression" dxfId="0" priority="1">
      <formula>$B$20&gt;=0.5</formula>
    </cfRule>
    <cfRule type="expression" dxfId="1" priority="2">
      <formula>AND($B$20&gt;=0.35,$B$20&lt;0.5)</formula>
    </cfRule>
    <cfRule type="expression" dxfId="2" priority="3">
      <formula>$B$20&lt;0.35</formula>
    </cfRule>
  </conditionalFormatting>
  <conditionalFormatting sqref="B20">
    <cfRule type="expression" dxfId="3" priority="1">
      <formula>B20&gt;=0.5</formula>
    </cfRule>
    <cfRule type="expression" dxfId="4" priority="2">
      <formula>AND(B20&gt;=0.35,B20&lt;0.5)</formula>
    </cfRule>
  </conditionalFormatting>
  <conditionalFormatting sqref="A23:G23">
    <cfRule type="expression" dxfId="5" priority="1">
      <formula>$B$20&gt;=0.5</formula>
    </cfRule>
    <cfRule type="expression" dxfId="6" priority="2">
      <formula>AND($B$20&gt;=0.35,$B$20&lt;0.5)</formula>
    </cfRule>
    <cfRule type="expression" dxfId="7" priority="3">
      <formula>$B$20&lt;0.35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首頁</vt:lpstr>
      <vt:lpstr>_reserved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財富自由計算機</dc:creator>
  <dc:title/>
  <dc:subject/>
  <dc:description/>
  <cp:keywords/>
  <cp:category/>
  <cp:lastModifiedBy>Unknown</cp:lastModifiedBy>
  <dcterms:created xsi:type="dcterms:W3CDTF">2026-06-13T12:19:58Z</dcterms:created>
  <dcterms:modified xsi:type="dcterms:W3CDTF">2026-06-13T12:19:58Z</dcterms:modified>
</cp:coreProperties>
</file>